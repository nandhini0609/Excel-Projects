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A Tutorial\"/>
    </mc:Choice>
  </mc:AlternateContent>
  <xr:revisionPtr revIDLastSave="0" documentId="13_ncr:1_{797D6BC1-DB32-4644-8EC6-3C899918DE41}" xr6:coauthVersionLast="47" xr6:coauthVersionMax="47" xr10:uidLastSave="{00000000-0000-0000-0000-000000000000}"/>
  <bookViews>
    <workbookView xWindow="-96" yWindow="0" windowWidth="14592" windowHeight="12336" firstSheet="2" activeTab="3" xr2:uid="{00000000-000D-0000-FFFF-FFFF00000000}"/>
  </bookViews>
  <sheets>
    <sheet name="bike_buyers" sheetId="1" r:id="rId1"/>
    <sheet name="workspace" sheetId="2" r:id="rId2"/>
    <sheet name="Pivot table" sheetId="3" r:id="rId3"/>
    <sheet name="Dashboard" sheetId="5" r:id="rId4"/>
  </sheets>
  <definedNames>
    <definedName name="_xlnm._FilterDatabase" localSheetId="0" hidden="1">bike_buyers!$A$1:$M$1001</definedName>
    <definedName name="_xlnm._FilterDatabase" localSheetId="1" hidden="1">workspace!$D$1:$D$1027</definedName>
    <definedName name="Slicer_Education">#N/A</definedName>
    <definedName name="Slicer_Marti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<sst xmlns="http://schemas.openxmlformats.org/spreadsheetml/2006/main" count="16267" uniqueCount="52">
  <si>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</si>
  <si>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</si>
  <si>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</si>
  <si>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</si>
  <si>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</si>
  <si>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</si>
  <si>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</si>
  <si>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</si>
  <si>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</si>
  <si>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</si>
  <si>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</si>
  <si>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</si>
  <si>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</si>
  <si>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</si>
  <si>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</si>
  <si>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</si>
  <si>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</si>
  <si>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</si>
  <si>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</si>
  <si>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</si>
  <si>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</si>
  <si>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</si>
  <si>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</si>
  <si>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</si>
  <si>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</si>
  <si>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</si>
  <si>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</si>
  <si>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</si>
  <si>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</si>
  <si>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</si>
  <si>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</si>
  <si>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</si>
  <si>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</si>
  <si>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</si>
  <si>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</si>
  <si>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</si>
  <si>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</si>
  <si>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</si>
  <si>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Martial status</t>
  </si>
  <si>
    <t>Male</t>
  </si>
  <si>
    <t>Female</t>
  </si>
  <si>
    <t>Age brackets</t>
  </si>
  <si>
    <t>Row Labels</t>
  </si>
  <si>
    <t>Grand Total</t>
  </si>
  <si>
    <t>Average of Income</t>
  </si>
  <si>
    <t>Column Labels</t>
  </si>
  <si>
    <t>More than 10 miles</t>
  </si>
  <si>
    <t>Count of Purchased Bike</t>
  </si>
  <si>
    <t>Adolescent</t>
  </si>
  <si>
    <t>Middle age</t>
  </si>
  <si>
    <t>old</t>
  </si>
  <si>
    <t>Bike purchase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</si>
</sst>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_ * #,##0_ ;_ * \-#,##0_ ;_ * &quot;-&quot;??_ ;_ @_ "/>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4"/>
      <name val="Calibri"/>
      <family val="2"/>
      <scheme val="minor"/>
    </font>
    <font>
      <sz val="11"/>
      <color theme="4"/>
      <name val="Amasis MT Pro Medium"/>
      <family val="1"/>
    </font>
    <font>
      <sz val="28"/>
      <color theme="0"/>
      <name val="Amasis MT Pro Black"/>
      <family val="1"/>
    </font>
    <font>
      <sz val="11"/>
      <color theme="4"/>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42" applyNumberFormat="1" applyFont="1"/>
    <xf numFmtId="165" fontId="0" fillId="0" borderId="0" xfId="0" applyNumberFormat="1"/>
    <xf numFmtId="0" fontId="19" fillId="33" borderId="0" xfId="0" applyFont="1" applyFill="1"/>
    <xf numFmtId="0" fontId="20" fillId="33" borderId="0" xfId="0" applyFont="1" applyFill="1" applyAlignment="1">
      <alignment horizontal="left" vertical="center"/>
    </xf>
    <xf numFmtId="0" fontId="21" fillId="33" borderId="0" xfId="0" applyFont="1" applyFill="1" applyAlignment="1">
      <alignment horizontal="center" vertical="top"/>
    </xf>
    <xf numFmtId="0" fontId="22" fillId="33" borderId="0" xfId="0" applyFont="1" applyFill="1" applyAlignment="1">
      <alignment horizontal="center" vertical="top"/>
    </xf>
    <xf numFmtId="0" fontId="22" fillId="33" borderId="0" xfId="0" applyFont="1" applyFill="1" applyAlignment="1">
      <alignment horizontal="center"/>
    </xf>
    <xf numFmtId="0" fontId="19" fillId="33" borderId="0" xfId="0" applyFont="1" applyFill="1" applyAlignment="1">
      <alignment horizontal="center" vertical="top"/>
    </xf>
    <xf numFmtId="0" fontId="19" fillId="33" borderId="0" xfId="0" applyFont="1" applyFill="1" applyAlignment="1">
      <alignment horizontal="left" vertical="top"/>
    </xf>
    <xf numFmtId="0" fontId="19" fillId="33" borderId="0" xfId="0" applyFont="1" applyFill="1" applyAlignment="1">
      <alignment horizontal="left"/>
    </xf>
    <xf numFmtId="0" fontId="19" fillId="33" borderId="0" xfId="0" applyFont="1" applyFill="1" applyAlignment="1">
      <alignment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buyers Based on average income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0913927957784"/>
          <c:y val="0.26370151647710705"/>
          <c:w val="0.55476332046500854"/>
          <c:h val="0.26985855934674835"/>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61D6-4F7B-BC92-DD84A9D309F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61D6-4F7B-BC92-DD84A9D309F3}"/>
            </c:ext>
          </c:extLst>
        </c:ser>
        <c:dLbls>
          <c:showLegendKey val="0"/>
          <c:showVal val="0"/>
          <c:showCatName val="0"/>
          <c:showSerName val="0"/>
          <c:showPercent val="0"/>
          <c:showBubbleSize val="0"/>
        </c:dLbls>
        <c:gapWidth val="219"/>
        <c:overlap val="-27"/>
        <c:axId val="930059695"/>
        <c:axId val="930055375"/>
      </c:barChart>
      <c:catAx>
        <c:axId val="93005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55375"/>
        <c:crosses val="autoZero"/>
        <c:auto val="1"/>
        <c:lblAlgn val="ctr"/>
        <c:lblOffset val="100"/>
        <c:noMultiLvlLbl val="0"/>
      </c:catAx>
      <c:valAx>
        <c:axId val="930055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59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based Bike buyers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2B0-4F19-A6A3-655A0A756E4F}"/>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2B0-4F19-A6A3-655A0A756E4F}"/>
            </c:ext>
          </c:extLst>
        </c:ser>
        <c:dLbls>
          <c:showLegendKey val="0"/>
          <c:showVal val="0"/>
          <c:showCatName val="0"/>
          <c:showSerName val="0"/>
          <c:showPercent val="0"/>
          <c:showBubbleSize val="0"/>
        </c:dLbls>
        <c:smooth val="0"/>
        <c:axId val="1451882975"/>
        <c:axId val="1451880575"/>
      </c:lineChart>
      <c:catAx>
        <c:axId val="145188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0575"/>
        <c:crosses val="autoZero"/>
        <c:auto val="1"/>
        <c:lblAlgn val="ctr"/>
        <c:lblOffset val="100"/>
        <c:noMultiLvlLbl val="0"/>
      </c:catAx>
      <c:valAx>
        <c:axId val="145188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purchasers based on Age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89-4C6E-891A-8FCA5AF12B77}"/>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89-4C6E-891A-8FCA5AF12B77}"/>
            </c:ext>
          </c:extLst>
        </c:ser>
        <c:dLbls>
          <c:showLegendKey val="0"/>
          <c:showVal val="0"/>
          <c:showCatName val="0"/>
          <c:showSerName val="0"/>
          <c:showPercent val="0"/>
          <c:showBubbleSize val="0"/>
        </c:dLbls>
        <c:marker val="1"/>
        <c:smooth val="0"/>
        <c:axId val="837673263"/>
        <c:axId val="837674223"/>
      </c:lineChart>
      <c:catAx>
        <c:axId val="8376732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4223"/>
        <c:crosses val="autoZero"/>
        <c:auto val="1"/>
        <c:lblAlgn val="ctr"/>
        <c:lblOffset val="100"/>
        <c:noMultiLvlLbl val="0"/>
      </c:catAx>
      <c:valAx>
        <c:axId val="8376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 Buyers Based on average income</a:t>
            </a:r>
          </a:p>
          <a:p>
            <a:pPr>
              <a:defRPr/>
            </a:pPr>
            <a:endParaRPr lang="en-IN"/>
          </a:p>
        </c:rich>
      </c:tx>
      <c:layout>
        <c:manualLayout>
          <c:xMode val="edge"/>
          <c:yMode val="edge"/>
          <c:x val="0.22608169150530003"/>
          <c:y val="0.140280337298263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80913927957784"/>
          <c:y val="0.26370151647710705"/>
          <c:w val="0.55476332046500854"/>
          <c:h val="0.26985855934674835"/>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013B-45B6-93E3-3C7FF1B0BBF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013B-45B6-93E3-3C7FF1B0BBFE}"/>
            </c:ext>
          </c:extLst>
        </c:ser>
        <c:dLbls>
          <c:showLegendKey val="0"/>
          <c:showVal val="0"/>
          <c:showCatName val="0"/>
          <c:showSerName val="0"/>
          <c:showPercent val="0"/>
          <c:showBubbleSize val="0"/>
        </c:dLbls>
        <c:gapWidth val="219"/>
        <c:overlap val="-27"/>
        <c:axId val="930059695"/>
        <c:axId val="930055375"/>
      </c:barChart>
      <c:catAx>
        <c:axId val="93005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55375"/>
        <c:crosses val="autoZero"/>
        <c:auto val="1"/>
        <c:lblAlgn val="ctr"/>
        <c:lblOffset val="100"/>
        <c:noMultiLvlLbl val="0"/>
      </c:catAx>
      <c:valAx>
        <c:axId val="930055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0596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414720452937003"/>
          <c:y val="0.48544565490957464"/>
          <c:w val="0.21585279547062985"/>
          <c:h val="0.258446140294107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 based Bike buyers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59-410B-BD56-17379BE66B3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59-410B-BD56-17379BE66B3D}"/>
            </c:ext>
          </c:extLst>
        </c:ser>
        <c:dLbls>
          <c:showLegendKey val="0"/>
          <c:showVal val="0"/>
          <c:showCatName val="0"/>
          <c:showSerName val="0"/>
          <c:showPercent val="0"/>
          <c:showBubbleSize val="0"/>
        </c:dLbls>
        <c:smooth val="0"/>
        <c:axId val="1451882975"/>
        <c:axId val="1451880575"/>
      </c:lineChart>
      <c:catAx>
        <c:axId val="145188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0575"/>
        <c:crosses val="autoZero"/>
        <c:auto val="1"/>
        <c:lblAlgn val="ctr"/>
        <c:lblOffset val="100"/>
        <c:noMultiLvlLbl val="0"/>
      </c:catAx>
      <c:valAx>
        <c:axId val="1451880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purchasers based on Age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A16-49AE-A1FF-382FD4659D29}"/>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A16-49AE-A1FF-382FD4659D29}"/>
            </c:ext>
          </c:extLst>
        </c:ser>
        <c:dLbls>
          <c:showLegendKey val="0"/>
          <c:showVal val="0"/>
          <c:showCatName val="0"/>
          <c:showSerName val="0"/>
          <c:showPercent val="0"/>
          <c:showBubbleSize val="0"/>
        </c:dLbls>
        <c:marker val="1"/>
        <c:smooth val="0"/>
        <c:axId val="837673263"/>
        <c:axId val="837674223"/>
      </c:lineChart>
      <c:catAx>
        <c:axId val="8376732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4223"/>
        <c:crosses val="autoZero"/>
        <c:auto val="1"/>
        <c:lblAlgn val="ctr"/>
        <c:lblOffset val="100"/>
        <c:noMultiLvlLbl val="0"/>
      </c:catAx>
      <c:valAx>
        <c:axId val="8376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purchasers based on Age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table'!$A$35:$A$38</c:f>
              <c:strCache>
                <c:ptCount val="3"/>
                <c:pt idx="0">
                  <c:v>Adolescent</c:v>
                </c:pt>
                <c:pt idx="1">
                  <c:v>Middle age</c:v>
                </c:pt>
                <c:pt idx="2">
                  <c:v>old</c:v>
                </c:pt>
              </c:strCache>
            </c:strRef>
          </c:cat>
          <c:val>
            <c:numRef>
              <c:f>'Pivot table'!$B$35:$B$38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0F-4C2B-8E1E-FD5D5614F80B}"/>
            </c:ext>
          </c:extLst>
        </c:ser>
        <c:ser>
          <c:idx val="1"/>
          <c:order val="1"/>
          <c:tx>
            <c:strRef>
              <c:f>'Pivot table'!$C$33:$C$34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table'!$A$35:$A$38</c:f>
              <c:strCache>
                <c:ptCount val="3"/>
                <c:pt idx="0">
                  <c:v>Adolescent</c:v>
                </c:pt>
                <c:pt idx="1">
                  <c:v>Middle age</c:v>
                </c:pt>
                <c:pt idx="2">
                  <c:v>old</c:v>
                </c:pt>
              </c:strCache>
            </c:strRef>
          </c:cat>
          <c:val>
            <c:numRef>
              <c:f>'Pivot table'!$C$35:$C$38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0F-4C2B-8E1E-FD5D5614F80B}"/>
            </c:ext>
          </c:extLst>
        </c:ser>
        <c:dLbls>
          <c:showLegendKey val="0"/>
          <c:showVal val="0"/>
          <c:showCatName val="0"/>
          <c:showSerName val="0"/>
          <c:showPercent val="0"/>
          <c:showBubbleSize val="0"/>
        </c:dLbls>
        <c:marker val="1"/>
        <c:smooth val="0"/>
        <c:axId val="837673263"/>
        <c:axId val="837674223"/>
      </c:lineChart>
      <c:catAx>
        <c:axId val="837673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4223"/>
        <c:crosses val="autoZero"/>
        <c:auto val="1"/>
        <c:lblAlgn val="ctr"/>
        <c:lblOffset val="100"/>
        <c:noMultiLvlLbl val="0"/>
      </c:catAx>
      <c:valAx>
        <c:axId val="83767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73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561340</xdr:colOff>
      <xdr:row>0</xdr:row>
      <xdr:rowOff>21590</xdr:rowOff>
    </xdr:from>
    <xdr:to>
      <xdr:col>12</xdr:col>
      <xdr:colOff>259080</xdr:colOff>
      <xdr:row>15</xdr:row>
      <xdr:rowOff>21590</xdr:rowOff>
    </xdr:to>
    <xdr:graphicFrame macro="">
      <xdr:nvGraphicFramePr>
        <xdr:cNvPr id="2" name="Chart 1">
          <a:extLst>
            <a:ext uri="{FF2B5EF4-FFF2-40B4-BE49-F238E27FC236}">
              <a16:creationId xmlns:a16="http://schemas.microsoft.com/office/drawing/2014/main" id="{2B29D06C-B79A-EFFF-0264-293B51A67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14</xdr:row>
      <xdr:rowOff>172720</xdr:rowOff>
    </xdr:from>
    <xdr:to>
      <xdr:col>13</xdr:col>
      <xdr:colOff>30480</xdr:colOff>
      <xdr:row>29</xdr:row>
      <xdr:rowOff>172720</xdr:rowOff>
    </xdr:to>
    <xdr:graphicFrame macro="">
      <xdr:nvGraphicFramePr>
        <xdr:cNvPr id="3" name="Chart 2">
          <a:extLst>
            <a:ext uri="{FF2B5EF4-FFF2-40B4-BE49-F238E27FC236}">
              <a16:creationId xmlns:a16="http://schemas.microsoft.com/office/drawing/2014/main" id="{A979FBB5-8DFC-DF6C-0D30-CBB7B75FB9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518160</xdr:colOff>
      <xdr:row>31</xdr:row>
      <xdr:rowOff>30480</xdr:rowOff>
    </xdr:from>
    <xdr:to>
      <xdr:col>13</xdr:col>
      <xdr:colOff>213360</xdr:colOff>
      <xdr:row>46</xdr:row>
      <xdr:rowOff>30480</xdr:rowOff>
    </xdr:to>
    <xdr:graphicFrame macro="">
      <xdr:nvGraphicFramePr>
        <xdr:cNvPr id="4" name="Chart 3">
          <a:extLst>
            <a:ext uri="{FF2B5EF4-FFF2-40B4-BE49-F238E27FC236}">
              <a16:creationId xmlns:a16="http://schemas.microsoft.com/office/drawing/2014/main" id="{E1749865-74FE-899B-9ED6-680456E95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4</xdr:row>
      <xdr:rowOff>15240</xdr:rowOff>
    </xdr:from>
    <xdr:to>
      <xdr:col>9</xdr:col>
      <xdr:colOff>45720</xdr:colOff>
      <xdr:row>13</xdr:row>
      <xdr:rowOff>160020</xdr:rowOff>
    </xdr:to>
    <xdr:graphicFrame macro="">
      <xdr:nvGraphicFramePr>
        <xdr:cNvPr id="2" name="Chart 1">
          <a:extLst>
            <a:ext uri="{FF2B5EF4-FFF2-40B4-BE49-F238E27FC236}">
              <a16:creationId xmlns:a16="http://schemas.microsoft.com/office/drawing/2014/main" id="{2F42A973-31EC-4347-B8D8-5CC61F1E4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213360</xdr:colOff>
      <xdr:row>14</xdr:row>
      <xdr:rowOff>38100</xdr:rowOff>
    </xdr:from>
    <xdr:to>
      <xdr:col>13</xdr:col>
      <xdr:colOff>601980</xdr:colOff>
      <xdr:row>24</xdr:row>
      <xdr:rowOff>144780</xdr:rowOff>
    </xdr:to>
    <xdr:graphicFrame macro="">
      <xdr:nvGraphicFramePr>
        <xdr:cNvPr id="3" name="Chart 2">
          <a:extLst>
            <a:ext uri="{FF2B5EF4-FFF2-40B4-BE49-F238E27FC236}">
              <a16:creationId xmlns:a16="http://schemas.microsoft.com/office/drawing/2014/main" id="{AA57034A-3B61-4D8F-A149-378F1728ED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50</xdr:row>
      <xdr:rowOff>0</xdr:rowOff>
    </xdr:from>
    <xdr:to>
      <xdr:col>15</xdr:col>
      <xdr:colOff>304800</xdr:colOff>
      <xdr:row>65</xdr:row>
      <xdr:rowOff>0</xdr:rowOff>
    </xdr:to>
    <xdr:graphicFrame macro="">
      <xdr:nvGraphicFramePr>
        <xdr:cNvPr id="4" name="Chart 3">
          <a:extLst>
            <a:ext uri="{FF2B5EF4-FFF2-40B4-BE49-F238E27FC236}">
              <a16:creationId xmlns:a16="http://schemas.microsoft.com/office/drawing/2014/main" id="{21005E9D-7BFF-4B8D-801E-2F467444C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114300</xdr:colOff>
      <xdr:row>4</xdr:row>
      <xdr:rowOff>22860</xdr:rowOff>
    </xdr:from>
    <xdr:to>
      <xdr:col>13</xdr:col>
      <xdr:colOff>601980</xdr:colOff>
      <xdr:row>13</xdr:row>
      <xdr:rowOff>144780</xdr:rowOff>
    </xdr:to>
    <xdr:graphicFrame macro="">
      <xdr:nvGraphicFramePr>
        <xdr:cNvPr id="5" name="Chart 4">
          <a:extLst>
            <a:ext uri="{FF2B5EF4-FFF2-40B4-BE49-F238E27FC236}">
              <a16:creationId xmlns:a16="http://schemas.microsoft.com/office/drawing/2014/main" id="{F767F0CF-4B42-44D2-96AE-952322378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15241</xdr:rowOff>
    </xdr:from>
    <xdr:to>
      <xdr:col>3</xdr:col>
      <xdr:colOff>0</xdr:colOff>
      <xdr:row>9</xdr:row>
      <xdr:rowOff>22861</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0D84BA49-865B-ECDF-4E01-3C496601741B}"/>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0" y="102108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15</xdr:row>
      <xdr:rowOff>137161</xdr:rowOff>
    </xdr:from>
    <xdr:to>
      <xdr:col>3</xdr:col>
      <xdr:colOff>7620</xdr:colOff>
      <xdr:row>24</xdr:row>
      <xdr:rowOff>160021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D4016B3-B802-F0DB-C4F5-D41C9CA5EE9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 y="315468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38101</xdr:rowOff>
    </xdr:from>
    <xdr:to>
      <xdr:col>3</xdr:col>
      <xdr:colOff>0</xdr:colOff>
      <xdr:row>15</xdr:row>
      <xdr:rowOff>91441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FF3CE562-C623-437C-5A92-F8D44A952F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58341"/>
              <a:ext cx="182880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hini P" refreshedDate="46157.90095787037" createdVersion="8" refreshedVersion="8" minRefreshableVersion="3" recordCount="1000" xr:uid="{F05519B2-1705-4D05-8500-61D1829834E6}">
  <cacheSource type="worksheet">
    <worksheetSource ref="A1:N1001" sheet="workspace"/>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5">
        <s v="Middle age"/>
        <s v="old"/>
        <s v="Adolescent"/>
        <b v="0" u="1"/>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7069626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888FF5-7D19-4FF8-8600-6A19AA9D9C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50EFAE-C976-4696-A428-A5E3791688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2">
    <format dxfId="15">
      <pivotArea outline="0" collapsedLevelsAreSubtotals="1" fieldPosition="0"/>
    </format>
    <format dxfId="14">
      <pivotArea dataOnly="0" labelOnly="1" outline="0" axis="axisValues"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BB1FC-30AD-44B7-AA74-41C42EECF6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6">
        <item x="2"/>
        <item m="1" x="4"/>
        <item x="0"/>
        <item x="1"/>
        <item m="1" x="3"/>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8D89A577-0238-40C8-A3C2-8622AE8167AB}" sourceName="Martial status">
  <pivotTables>
    <pivotTable tabId="3" name="PivotTable1"/>
    <pivotTable tabId="3" name="PivotTable2"/>
    <pivotTable tabId="3" name="PivotTable3"/>
  </pivotTables>
  <data>
    <tabular pivotCacheId="17069626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5869BC5-E18E-4485-8098-3E743E023369}" sourceName="Education">
  <pivotTables>
    <pivotTable tabId="3" name="PivotTable1"/>
    <pivotTable tabId="3" name="PivotTable2"/>
    <pivotTable tabId="3" name="PivotTable3"/>
  </pivotTables>
  <data>
    <tabular pivotCacheId="1706962656">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E6FAF5C-1400-4846-8D88-9863DE9069FC}" sourceName="Region">
  <pivotTables>
    <pivotTable tabId="3" name="PivotTable1"/>
    <pivotTable tabId="3" name="PivotTable2"/>
    <pivotTable tabId="3" name="PivotTable3"/>
  </pivotTables>
  <data>
    <tabular pivotCacheId="17069626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6B563A0E-EC02-47BE-AD49-56E0C25A9E3B}" cache="Slicer_Martial_status" caption="Martial status" rowHeight="234950"/>
  <slicer name="Education" xr10:uid="{B88B67A9-DFFF-4BA0-9856-F92F9B42B08F}" cache="Slicer_Education" caption="Education" rowHeight="234950"/>
  <slicer name="Region" xr10:uid="{D95956A8-EB56-4F18-B7EF-1784AFE1DED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021" sqref="D102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B94F5-E362-4B51-B637-69C9C392FD50}">
  <dimension ref="A1:N1001"/>
  <sheetViews>
    <sheetView workbookViewId="0">
      <selection activeCell="M4" sqref="M4"/>
    </sheetView>
  </sheetViews>
  <sheetFormatPr defaultRowHeight="14.4" x14ac:dyDescent="0.3"/>
  <cols>
    <col min="4" max="4" width="11.33203125" style="5" bestFit="1" customWidth="1"/>
  </cols>
  <sheetData>
    <row r="1" spans="1:14" x14ac:dyDescent="0.3">
      <c r="A1" t="s">
        <v>0</v>
      </c>
      <c r="B1" t="s">
        <v>38</v>
      </c>
      <c r="C1" t="s">
        <v>2</v>
      </c>
      <c r="D1" s="5" t="s">
        <v>3</v>
      </c>
      <c r="E1" t="s">
        <v>4</v>
      </c>
      <c r="F1" t="s">
        <v>5</v>
      </c>
      <c r="G1" t="s">
        <v>6</v>
      </c>
      <c r="H1" t="s">
        <v>7</v>
      </c>
      <c r="I1" t="s">
        <v>8</v>
      </c>
      <c r="J1" t="s">
        <v>9</v>
      </c>
      <c r="K1" t="s">
        <v>10</v>
      </c>
      <c r="L1" t="s">
        <v>11</v>
      </c>
      <c r="M1" t="s">
        <v>41</v>
      </c>
      <c r="N1" t="s">
        <v>12</v>
      </c>
    </row>
    <row r="2" spans="1:14" x14ac:dyDescent="0.3">
      <c r="A2">
        <v>12496</v>
      </c>
      <c r="B2" t="s">
        <v>36</v>
      </c>
      <c r="C2" t="s">
        <v>40</v>
      </c>
      <c r="D2" s="5">
        <v>40000</v>
      </c>
      <c r="E2">
        <v>1</v>
      </c>
      <c r="F2" t="s">
        <v>13</v>
      </c>
      <c r="G2" t="s">
        <v>14</v>
      </c>
      <c r="H2" t="s">
        <v>15</v>
      </c>
      <c r="I2">
        <v>0</v>
      </c>
      <c r="J2" t="s">
        <v>16</v>
      </c>
      <c r="K2" t="s">
        <v>17</v>
      </c>
      <c r="L2">
        <v>42</v>
      </c>
      <c r="M2" t="str">
        <f>IF(L2&gt;54,"old",IF(L2&gt;=31,"Middle age",IF(L2&lt;31,"Adolescent")))</f>
        <v>Middle age</v>
      </c>
      <c r="N2" t="s">
        <v>18</v>
      </c>
    </row>
    <row r="3" spans="1:14" x14ac:dyDescent="0.3">
      <c r="A3">
        <v>24107</v>
      </c>
      <c r="B3" t="s">
        <v>36</v>
      </c>
      <c r="C3" t="s">
        <v>39</v>
      </c>
      <c r="D3" s="5">
        <v>30000</v>
      </c>
      <c r="E3">
        <v>3</v>
      </c>
      <c r="F3" t="s">
        <v>19</v>
      </c>
      <c r="G3" t="s">
        <v>20</v>
      </c>
      <c r="H3" t="s">
        <v>15</v>
      </c>
      <c r="I3">
        <v>1</v>
      </c>
      <c r="J3" t="s">
        <v>16</v>
      </c>
      <c r="K3" t="s">
        <v>17</v>
      </c>
      <c r="L3">
        <v>43</v>
      </c>
      <c r="M3" t="str">
        <f t="shared" ref="M3:M66" si="0">IF(L3&gt;54,"old",IF(L3&gt;=31,"Middle age",IF(L3&lt;31,"Adolescent")))</f>
        <v>Middle age</v>
      </c>
      <c r="N3" t="s">
        <v>18</v>
      </c>
    </row>
    <row r="4" spans="1:14" x14ac:dyDescent="0.3">
      <c r="A4">
        <v>14177</v>
      </c>
      <c r="B4" t="s">
        <v>36</v>
      </c>
      <c r="C4" t="s">
        <v>39</v>
      </c>
      <c r="D4" s="5">
        <v>80000</v>
      </c>
      <c r="E4">
        <v>5</v>
      </c>
      <c r="F4" t="s">
        <v>19</v>
      </c>
      <c r="G4" t="s">
        <v>21</v>
      </c>
      <c r="H4" t="s">
        <v>18</v>
      </c>
      <c r="I4">
        <v>2</v>
      </c>
      <c r="J4" t="s">
        <v>22</v>
      </c>
      <c r="K4" t="s">
        <v>17</v>
      </c>
      <c r="L4">
        <v>60</v>
      </c>
      <c r="M4" t="str">
        <f t="shared" si="0"/>
        <v>old</v>
      </c>
      <c r="N4" t="s">
        <v>18</v>
      </c>
    </row>
    <row r="5" spans="1:14" x14ac:dyDescent="0.3">
      <c r="A5">
        <v>24381</v>
      </c>
      <c r="B5" t="s">
        <v>37</v>
      </c>
      <c r="C5" t="s">
        <v>39</v>
      </c>
      <c r="D5" s="5">
        <v>70000</v>
      </c>
      <c r="E5">
        <v>0</v>
      </c>
      <c r="F5" t="s">
        <v>13</v>
      </c>
      <c r="G5" t="s">
        <v>21</v>
      </c>
      <c r="H5" t="s">
        <v>15</v>
      </c>
      <c r="I5">
        <v>1</v>
      </c>
      <c r="J5" t="s">
        <v>23</v>
      </c>
      <c r="K5" t="s">
        <v>24</v>
      </c>
      <c r="L5">
        <v>41</v>
      </c>
      <c r="M5" t="str">
        <f t="shared" si="0"/>
        <v>Middle age</v>
      </c>
      <c r="N5" t="s">
        <v>15</v>
      </c>
    </row>
    <row r="6" spans="1:14" x14ac:dyDescent="0.3">
      <c r="A6">
        <v>25597</v>
      </c>
      <c r="B6" t="s">
        <v>37</v>
      </c>
      <c r="C6" t="s">
        <v>39</v>
      </c>
      <c r="D6" s="5">
        <v>30000</v>
      </c>
      <c r="E6">
        <v>0</v>
      </c>
      <c r="F6" t="s">
        <v>13</v>
      </c>
      <c r="G6" t="s">
        <v>20</v>
      </c>
      <c r="H6" t="s">
        <v>18</v>
      </c>
      <c r="I6">
        <v>0</v>
      </c>
      <c r="J6" t="s">
        <v>16</v>
      </c>
      <c r="K6" t="s">
        <v>17</v>
      </c>
      <c r="L6">
        <v>36</v>
      </c>
      <c r="M6" t="str">
        <f t="shared" si="0"/>
        <v>Middle age</v>
      </c>
      <c r="N6" t="s">
        <v>15</v>
      </c>
    </row>
    <row r="7" spans="1:14" x14ac:dyDescent="0.3">
      <c r="A7">
        <v>13507</v>
      </c>
      <c r="B7" t="s">
        <v>36</v>
      </c>
      <c r="C7" t="s">
        <v>40</v>
      </c>
      <c r="D7" s="5">
        <v>10000</v>
      </c>
      <c r="E7">
        <v>2</v>
      </c>
      <c r="F7" t="s">
        <v>19</v>
      </c>
      <c r="G7" t="s">
        <v>25</v>
      </c>
      <c r="H7" t="s">
        <v>15</v>
      </c>
      <c r="I7">
        <v>0</v>
      </c>
      <c r="J7" t="s">
        <v>26</v>
      </c>
      <c r="K7" t="s">
        <v>17</v>
      </c>
      <c r="L7">
        <v>50</v>
      </c>
      <c r="M7" t="str">
        <f t="shared" si="0"/>
        <v>Middle age</v>
      </c>
      <c r="N7" t="s">
        <v>18</v>
      </c>
    </row>
    <row r="8" spans="1:14" x14ac:dyDescent="0.3">
      <c r="A8">
        <v>27974</v>
      </c>
      <c r="B8" t="s">
        <v>37</v>
      </c>
      <c r="C8" t="s">
        <v>39</v>
      </c>
      <c r="D8" s="5">
        <v>160000</v>
      </c>
      <c r="E8">
        <v>2</v>
      </c>
      <c r="F8" t="s">
        <v>27</v>
      </c>
      <c r="G8" t="s">
        <v>28</v>
      </c>
      <c r="H8" t="s">
        <v>15</v>
      </c>
      <c r="I8">
        <v>4</v>
      </c>
      <c r="J8" t="s">
        <v>16</v>
      </c>
      <c r="K8" t="s">
        <v>24</v>
      </c>
      <c r="L8">
        <v>33</v>
      </c>
      <c r="M8" t="str">
        <f t="shared" si="0"/>
        <v>Middle age</v>
      </c>
      <c r="N8" t="s">
        <v>15</v>
      </c>
    </row>
    <row r="9" spans="1:14" x14ac:dyDescent="0.3">
      <c r="A9">
        <v>19364</v>
      </c>
      <c r="B9" t="s">
        <v>36</v>
      </c>
      <c r="C9" t="s">
        <v>39</v>
      </c>
      <c r="D9" s="5">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5">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5">
        <v>120000</v>
      </c>
      <c r="E11">
        <v>2</v>
      </c>
      <c r="F11" t="s">
        <v>19</v>
      </c>
      <c r="G11" t="s">
        <v>25</v>
      </c>
      <c r="H11" t="s">
        <v>15</v>
      </c>
      <c r="I11">
        <v>1</v>
      </c>
      <c r="J11" t="s">
        <v>16</v>
      </c>
      <c r="K11" t="s">
        <v>17</v>
      </c>
      <c r="L11">
        <v>40</v>
      </c>
      <c r="M11" t="str">
        <f t="shared" si="0"/>
        <v>Middle age</v>
      </c>
      <c r="N11" t="s">
        <v>15</v>
      </c>
    </row>
    <row r="12" spans="1:14" x14ac:dyDescent="0.3">
      <c r="A12">
        <v>22173</v>
      </c>
      <c r="B12" t="s">
        <v>36</v>
      </c>
      <c r="C12" t="s">
        <v>40</v>
      </c>
      <c r="D12" s="5">
        <v>30000</v>
      </c>
      <c r="E12">
        <v>3</v>
      </c>
      <c r="F12" t="s">
        <v>27</v>
      </c>
      <c r="G12" t="s">
        <v>14</v>
      </c>
      <c r="H12" t="s">
        <v>18</v>
      </c>
      <c r="I12">
        <v>2</v>
      </c>
      <c r="J12" t="s">
        <v>26</v>
      </c>
      <c r="K12" t="s">
        <v>24</v>
      </c>
      <c r="L12">
        <v>54</v>
      </c>
      <c r="M12" t="str">
        <f t="shared" si="0"/>
        <v>Middle age</v>
      </c>
      <c r="N12" t="s">
        <v>15</v>
      </c>
    </row>
    <row r="13" spans="1:14" x14ac:dyDescent="0.3">
      <c r="A13">
        <v>12697</v>
      </c>
      <c r="B13" t="s">
        <v>37</v>
      </c>
      <c r="C13" t="s">
        <v>40</v>
      </c>
      <c r="D13" s="5">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5">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5">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5">
        <v>60000</v>
      </c>
      <c r="E16">
        <v>1</v>
      </c>
      <c r="F16" t="s">
        <v>19</v>
      </c>
      <c r="G16" t="s">
        <v>14</v>
      </c>
      <c r="H16" t="s">
        <v>18</v>
      </c>
      <c r="I16">
        <v>1</v>
      </c>
      <c r="J16" t="s">
        <v>16</v>
      </c>
      <c r="K16" t="s">
        <v>24</v>
      </c>
      <c r="L16">
        <v>45</v>
      </c>
      <c r="M16" t="str">
        <f t="shared" si="0"/>
        <v>Middle age</v>
      </c>
      <c r="N16" t="s">
        <v>15</v>
      </c>
    </row>
    <row r="17" spans="1:14" x14ac:dyDescent="0.3">
      <c r="A17">
        <v>20870</v>
      </c>
      <c r="B17" t="s">
        <v>37</v>
      </c>
      <c r="C17" t="s">
        <v>40</v>
      </c>
      <c r="D17" s="5">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5">
        <v>30000</v>
      </c>
      <c r="E18">
        <v>3</v>
      </c>
      <c r="F18" t="s">
        <v>19</v>
      </c>
      <c r="G18" t="s">
        <v>20</v>
      </c>
      <c r="H18" t="s">
        <v>18</v>
      </c>
      <c r="I18">
        <v>2</v>
      </c>
      <c r="J18" t="s">
        <v>26</v>
      </c>
      <c r="K18" t="s">
        <v>24</v>
      </c>
      <c r="L18">
        <v>59</v>
      </c>
      <c r="M18" t="str">
        <f t="shared" si="0"/>
        <v>old</v>
      </c>
      <c r="N18" t="s">
        <v>15</v>
      </c>
    </row>
    <row r="19" spans="1:14" x14ac:dyDescent="0.3">
      <c r="A19">
        <v>12610</v>
      </c>
      <c r="B19" t="s">
        <v>36</v>
      </c>
      <c r="C19" t="s">
        <v>40</v>
      </c>
      <c r="D19" s="5">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5">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5">
        <v>20000</v>
      </c>
      <c r="E21">
        <v>2</v>
      </c>
      <c r="F21" t="s">
        <v>29</v>
      </c>
      <c r="G21" t="s">
        <v>20</v>
      </c>
      <c r="H21" t="s">
        <v>15</v>
      </c>
      <c r="I21">
        <v>2</v>
      </c>
      <c r="J21" t="s">
        <v>23</v>
      </c>
      <c r="K21" t="s">
        <v>24</v>
      </c>
      <c r="L21">
        <v>55</v>
      </c>
      <c r="M21" t="str">
        <f t="shared" si="0"/>
        <v>old</v>
      </c>
      <c r="N21" t="s">
        <v>15</v>
      </c>
    </row>
    <row r="22" spans="1:14" x14ac:dyDescent="0.3">
      <c r="A22">
        <v>25598</v>
      </c>
      <c r="B22" t="s">
        <v>36</v>
      </c>
      <c r="C22" t="s">
        <v>40</v>
      </c>
      <c r="D22" s="5">
        <v>40000</v>
      </c>
      <c r="E22">
        <v>0</v>
      </c>
      <c r="F22" t="s">
        <v>31</v>
      </c>
      <c r="G22" t="s">
        <v>20</v>
      </c>
      <c r="H22" t="s">
        <v>15</v>
      </c>
      <c r="I22">
        <v>0</v>
      </c>
      <c r="J22" t="s">
        <v>16</v>
      </c>
      <c r="K22" t="s">
        <v>17</v>
      </c>
      <c r="L22">
        <v>36</v>
      </c>
      <c r="M22" t="str">
        <f t="shared" si="0"/>
        <v>Middle age</v>
      </c>
      <c r="N22" t="s">
        <v>15</v>
      </c>
    </row>
    <row r="23" spans="1:14" x14ac:dyDescent="0.3">
      <c r="A23">
        <v>21564</v>
      </c>
      <c r="B23" t="s">
        <v>37</v>
      </c>
      <c r="C23" t="s">
        <v>40</v>
      </c>
      <c r="D23" s="5">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5">
        <v>40000</v>
      </c>
      <c r="E24">
        <v>2</v>
      </c>
      <c r="F24" t="s">
        <v>19</v>
      </c>
      <c r="G24" t="s">
        <v>20</v>
      </c>
      <c r="H24" t="s">
        <v>15</v>
      </c>
      <c r="I24">
        <v>0</v>
      </c>
      <c r="J24" t="s">
        <v>26</v>
      </c>
      <c r="K24" t="s">
        <v>17</v>
      </c>
      <c r="L24">
        <v>35</v>
      </c>
      <c r="M24" t="str">
        <f t="shared" si="0"/>
        <v>Middle age</v>
      </c>
      <c r="N24" t="s">
        <v>15</v>
      </c>
    </row>
    <row r="25" spans="1:14" x14ac:dyDescent="0.3">
      <c r="A25">
        <v>26412</v>
      </c>
      <c r="B25" t="s">
        <v>36</v>
      </c>
      <c r="C25" t="s">
        <v>40</v>
      </c>
      <c r="D25" s="5">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5">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5">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5">
        <v>30000</v>
      </c>
      <c r="E28">
        <v>0</v>
      </c>
      <c r="F28" t="s">
        <v>19</v>
      </c>
      <c r="G28" t="s">
        <v>20</v>
      </c>
      <c r="H28" t="s">
        <v>18</v>
      </c>
      <c r="I28">
        <v>1</v>
      </c>
      <c r="J28" t="s">
        <v>16</v>
      </c>
      <c r="K28" t="s">
        <v>17</v>
      </c>
      <c r="L28">
        <v>29</v>
      </c>
      <c r="M28" t="str">
        <f t="shared" si="0"/>
        <v>Adolescent</v>
      </c>
      <c r="N28" t="s">
        <v>15</v>
      </c>
    </row>
    <row r="29" spans="1:14" x14ac:dyDescent="0.3">
      <c r="A29">
        <v>18283</v>
      </c>
      <c r="B29" t="s">
        <v>37</v>
      </c>
      <c r="C29" t="s">
        <v>40</v>
      </c>
      <c r="D29" s="5">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5">
        <v>70000</v>
      </c>
      <c r="E30">
        <v>5</v>
      </c>
      <c r="F30" t="s">
        <v>19</v>
      </c>
      <c r="G30" t="s">
        <v>14</v>
      </c>
      <c r="H30" t="s">
        <v>15</v>
      </c>
      <c r="I30">
        <v>2</v>
      </c>
      <c r="J30" t="s">
        <v>23</v>
      </c>
      <c r="K30" t="s">
        <v>24</v>
      </c>
      <c r="L30">
        <v>44</v>
      </c>
      <c r="M30" t="str">
        <f t="shared" si="0"/>
        <v>Middle age</v>
      </c>
      <c r="N30" t="s">
        <v>18</v>
      </c>
    </row>
    <row r="31" spans="1:14" x14ac:dyDescent="0.3">
      <c r="A31">
        <v>16466</v>
      </c>
      <c r="B31" t="s">
        <v>37</v>
      </c>
      <c r="C31" t="s">
        <v>40</v>
      </c>
      <c r="D31" s="5">
        <v>20000</v>
      </c>
      <c r="E31">
        <v>0</v>
      </c>
      <c r="F31" t="s">
        <v>29</v>
      </c>
      <c r="G31" t="s">
        <v>25</v>
      </c>
      <c r="H31" t="s">
        <v>18</v>
      </c>
      <c r="I31">
        <v>2</v>
      </c>
      <c r="J31" t="s">
        <v>16</v>
      </c>
      <c r="K31" t="s">
        <v>17</v>
      </c>
      <c r="L31">
        <v>32</v>
      </c>
      <c r="M31" t="str">
        <f t="shared" si="0"/>
        <v>Middle age</v>
      </c>
      <c r="N31" t="s">
        <v>15</v>
      </c>
    </row>
    <row r="32" spans="1:14" x14ac:dyDescent="0.3">
      <c r="A32">
        <v>19273</v>
      </c>
      <c r="B32" t="s">
        <v>36</v>
      </c>
      <c r="C32" t="s">
        <v>40</v>
      </c>
      <c r="D32" s="5">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5">
        <v>10000</v>
      </c>
      <c r="E33">
        <v>0</v>
      </c>
      <c r="F33" t="s">
        <v>19</v>
      </c>
      <c r="G33" t="s">
        <v>25</v>
      </c>
      <c r="H33" t="s">
        <v>18</v>
      </c>
      <c r="I33">
        <v>1</v>
      </c>
      <c r="J33" t="s">
        <v>16</v>
      </c>
      <c r="K33" t="s">
        <v>24</v>
      </c>
      <c r="L33">
        <v>26</v>
      </c>
      <c r="M33" t="str">
        <f t="shared" si="0"/>
        <v>Adolescent</v>
      </c>
      <c r="N33" t="s">
        <v>15</v>
      </c>
    </row>
    <row r="34" spans="1:14" x14ac:dyDescent="0.3">
      <c r="A34">
        <v>20942</v>
      </c>
      <c r="B34" t="s">
        <v>37</v>
      </c>
      <c r="C34" t="s">
        <v>40</v>
      </c>
      <c r="D34" s="5">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5">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5">
        <v>90000</v>
      </c>
      <c r="E36">
        <v>5</v>
      </c>
      <c r="F36" t="s">
        <v>19</v>
      </c>
      <c r="G36" t="s">
        <v>21</v>
      </c>
      <c r="H36" t="s">
        <v>18</v>
      </c>
      <c r="I36">
        <v>2</v>
      </c>
      <c r="J36" t="s">
        <v>22</v>
      </c>
      <c r="K36" t="s">
        <v>17</v>
      </c>
      <c r="L36">
        <v>62</v>
      </c>
      <c r="M36" t="str">
        <f t="shared" si="0"/>
        <v>old</v>
      </c>
      <c r="N36" t="s">
        <v>15</v>
      </c>
    </row>
    <row r="37" spans="1:14" x14ac:dyDescent="0.3">
      <c r="A37">
        <v>28380</v>
      </c>
      <c r="B37" t="s">
        <v>37</v>
      </c>
      <c r="C37" t="s">
        <v>40</v>
      </c>
      <c r="D37" s="5">
        <v>10000</v>
      </c>
      <c r="E37">
        <v>5</v>
      </c>
      <c r="F37" t="s">
        <v>29</v>
      </c>
      <c r="G37" t="s">
        <v>25</v>
      </c>
      <c r="H37" t="s">
        <v>18</v>
      </c>
      <c r="I37">
        <v>2</v>
      </c>
      <c r="J37" t="s">
        <v>16</v>
      </c>
      <c r="K37" t="s">
        <v>17</v>
      </c>
      <c r="L37">
        <v>41</v>
      </c>
      <c r="M37" t="str">
        <f t="shared" si="0"/>
        <v>Middle age</v>
      </c>
      <c r="N37" t="s">
        <v>18</v>
      </c>
    </row>
    <row r="38" spans="1:14" x14ac:dyDescent="0.3">
      <c r="A38">
        <v>17891</v>
      </c>
      <c r="B38" t="s">
        <v>36</v>
      </c>
      <c r="C38" t="s">
        <v>40</v>
      </c>
      <c r="D38" s="5">
        <v>10000</v>
      </c>
      <c r="E38">
        <v>2</v>
      </c>
      <c r="F38" t="s">
        <v>19</v>
      </c>
      <c r="G38" t="s">
        <v>25</v>
      </c>
      <c r="H38" t="s">
        <v>15</v>
      </c>
      <c r="I38">
        <v>1</v>
      </c>
      <c r="J38" t="s">
        <v>16</v>
      </c>
      <c r="K38" t="s">
        <v>17</v>
      </c>
      <c r="L38">
        <v>50</v>
      </c>
      <c r="M38" t="str">
        <f t="shared" si="0"/>
        <v>Middle age</v>
      </c>
      <c r="N38" t="s">
        <v>15</v>
      </c>
    </row>
    <row r="39" spans="1:14" x14ac:dyDescent="0.3">
      <c r="A39">
        <v>27832</v>
      </c>
      <c r="B39" t="s">
        <v>37</v>
      </c>
      <c r="C39" t="s">
        <v>40</v>
      </c>
      <c r="D39" s="5">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5">
        <v>20000</v>
      </c>
      <c r="E40">
        <v>0</v>
      </c>
      <c r="F40" t="s">
        <v>27</v>
      </c>
      <c r="G40" t="s">
        <v>25</v>
      </c>
      <c r="H40" t="s">
        <v>18</v>
      </c>
      <c r="I40">
        <v>1</v>
      </c>
      <c r="J40" t="s">
        <v>22</v>
      </c>
      <c r="K40" t="s">
        <v>17</v>
      </c>
      <c r="L40">
        <v>28</v>
      </c>
      <c r="M40" t="str">
        <f t="shared" si="0"/>
        <v>Adolescent</v>
      </c>
      <c r="N40" t="s">
        <v>18</v>
      </c>
    </row>
    <row r="41" spans="1:14" x14ac:dyDescent="0.3">
      <c r="A41">
        <v>16259</v>
      </c>
      <c r="B41" t="s">
        <v>37</v>
      </c>
      <c r="C41" t="s">
        <v>40</v>
      </c>
      <c r="D41" s="5">
        <v>10000</v>
      </c>
      <c r="E41">
        <v>4</v>
      </c>
      <c r="F41" t="s">
        <v>29</v>
      </c>
      <c r="G41" t="s">
        <v>25</v>
      </c>
      <c r="H41" t="s">
        <v>15</v>
      </c>
      <c r="I41">
        <v>2</v>
      </c>
      <c r="J41" t="s">
        <v>16</v>
      </c>
      <c r="K41" t="s">
        <v>17</v>
      </c>
      <c r="L41">
        <v>40</v>
      </c>
      <c r="M41" t="str">
        <f t="shared" si="0"/>
        <v>Middle age</v>
      </c>
      <c r="N41" t="s">
        <v>15</v>
      </c>
    </row>
    <row r="42" spans="1:14" x14ac:dyDescent="0.3">
      <c r="A42">
        <v>27803</v>
      </c>
      <c r="B42" t="s">
        <v>37</v>
      </c>
      <c r="C42" t="s">
        <v>40</v>
      </c>
      <c r="D42" s="5">
        <v>30000</v>
      </c>
      <c r="E42">
        <v>2</v>
      </c>
      <c r="F42" t="s">
        <v>19</v>
      </c>
      <c r="G42" t="s">
        <v>20</v>
      </c>
      <c r="H42" t="s">
        <v>18</v>
      </c>
      <c r="I42">
        <v>0</v>
      </c>
      <c r="J42" t="s">
        <v>16</v>
      </c>
      <c r="K42" t="s">
        <v>17</v>
      </c>
      <c r="L42">
        <v>43</v>
      </c>
      <c r="M42" t="str">
        <f t="shared" si="0"/>
        <v>Middle age</v>
      </c>
      <c r="N42" t="s">
        <v>18</v>
      </c>
    </row>
    <row r="43" spans="1:14" x14ac:dyDescent="0.3">
      <c r="A43">
        <v>14347</v>
      </c>
      <c r="B43" t="s">
        <v>37</v>
      </c>
      <c r="C43" t="s">
        <v>40</v>
      </c>
      <c r="D43" s="5">
        <v>40000</v>
      </c>
      <c r="E43">
        <v>2</v>
      </c>
      <c r="F43" t="s">
        <v>13</v>
      </c>
      <c r="G43" t="s">
        <v>28</v>
      </c>
      <c r="H43" t="s">
        <v>15</v>
      </c>
      <c r="I43">
        <v>2</v>
      </c>
      <c r="J43" t="s">
        <v>23</v>
      </c>
      <c r="K43" t="s">
        <v>24</v>
      </c>
      <c r="L43">
        <v>65</v>
      </c>
      <c r="M43" t="str">
        <f t="shared" si="0"/>
        <v>old</v>
      </c>
      <c r="N43" t="s">
        <v>15</v>
      </c>
    </row>
    <row r="44" spans="1:14" x14ac:dyDescent="0.3">
      <c r="A44">
        <v>17703</v>
      </c>
      <c r="B44" t="s">
        <v>36</v>
      </c>
      <c r="C44" t="s">
        <v>40</v>
      </c>
      <c r="D44" s="5">
        <v>10000</v>
      </c>
      <c r="E44">
        <v>1</v>
      </c>
      <c r="F44" t="s">
        <v>31</v>
      </c>
      <c r="G44" t="s">
        <v>25</v>
      </c>
      <c r="H44" t="s">
        <v>15</v>
      </c>
      <c r="I44">
        <v>0</v>
      </c>
      <c r="J44" t="s">
        <v>16</v>
      </c>
      <c r="K44" t="s">
        <v>17</v>
      </c>
      <c r="L44">
        <v>40</v>
      </c>
      <c r="M44" t="str">
        <f t="shared" si="0"/>
        <v>Middle age</v>
      </c>
      <c r="N44" t="s">
        <v>18</v>
      </c>
    </row>
    <row r="45" spans="1:14" x14ac:dyDescent="0.3">
      <c r="A45">
        <v>17185</v>
      </c>
      <c r="B45" t="s">
        <v>36</v>
      </c>
      <c r="C45" t="s">
        <v>40</v>
      </c>
      <c r="D45" s="5">
        <v>170000</v>
      </c>
      <c r="E45">
        <v>4</v>
      </c>
      <c r="F45" t="s">
        <v>19</v>
      </c>
      <c r="G45" t="s">
        <v>21</v>
      </c>
      <c r="H45" t="s">
        <v>18</v>
      </c>
      <c r="I45">
        <v>3</v>
      </c>
      <c r="J45" t="s">
        <v>23</v>
      </c>
      <c r="K45" t="s">
        <v>17</v>
      </c>
      <c r="L45">
        <v>48</v>
      </c>
      <c r="M45" t="str">
        <f t="shared" si="0"/>
        <v>Middle age</v>
      </c>
      <c r="N45" t="s">
        <v>15</v>
      </c>
    </row>
    <row r="46" spans="1:14" x14ac:dyDescent="0.3">
      <c r="A46">
        <v>29380</v>
      </c>
      <c r="B46" t="s">
        <v>36</v>
      </c>
      <c r="C46" t="s">
        <v>40</v>
      </c>
      <c r="D46" s="5">
        <v>20000</v>
      </c>
      <c r="E46">
        <v>3</v>
      </c>
      <c r="F46" t="s">
        <v>27</v>
      </c>
      <c r="G46" t="s">
        <v>25</v>
      </c>
      <c r="H46" t="s">
        <v>15</v>
      </c>
      <c r="I46">
        <v>0</v>
      </c>
      <c r="J46" t="s">
        <v>16</v>
      </c>
      <c r="K46" t="s">
        <v>17</v>
      </c>
      <c r="L46">
        <v>41</v>
      </c>
      <c r="M46" t="str">
        <f t="shared" si="0"/>
        <v>Middle age</v>
      </c>
      <c r="N46" t="s">
        <v>15</v>
      </c>
    </row>
    <row r="47" spans="1:14" x14ac:dyDescent="0.3">
      <c r="A47">
        <v>23986</v>
      </c>
      <c r="B47" t="s">
        <v>36</v>
      </c>
      <c r="C47" t="s">
        <v>40</v>
      </c>
      <c r="D47" s="5">
        <v>20000</v>
      </c>
      <c r="E47">
        <v>1</v>
      </c>
      <c r="F47" t="s">
        <v>13</v>
      </c>
      <c r="G47" t="s">
        <v>20</v>
      </c>
      <c r="H47" t="s">
        <v>15</v>
      </c>
      <c r="I47">
        <v>0</v>
      </c>
      <c r="J47" t="s">
        <v>16</v>
      </c>
      <c r="K47" t="s">
        <v>17</v>
      </c>
      <c r="L47">
        <v>66</v>
      </c>
      <c r="M47" t="str">
        <f t="shared" si="0"/>
        <v>old</v>
      </c>
      <c r="N47" t="s">
        <v>15</v>
      </c>
    </row>
    <row r="48" spans="1:14" x14ac:dyDescent="0.3">
      <c r="A48">
        <v>24466</v>
      </c>
      <c r="B48" t="s">
        <v>36</v>
      </c>
      <c r="C48" t="s">
        <v>40</v>
      </c>
      <c r="D48" s="5">
        <v>60000</v>
      </c>
      <c r="E48">
        <v>1</v>
      </c>
      <c r="F48" t="s">
        <v>19</v>
      </c>
      <c r="G48" t="s">
        <v>14</v>
      </c>
      <c r="H48" t="s">
        <v>15</v>
      </c>
      <c r="I48">
        <v>1</v>
      </c>
      <c r="J48" t="s">
        <v>23</v>
      </c>
      <c r="K48" t="s">
        <v>24</v>
      </c>
      <c r="L48">
        <v>46</v>
      </c>
      <c r="M48" t="str">
        <f t="shared" si="0"/>
        <v>Middle age</v>
      </c>
      <c r="N48" t="s">
        <v>15</v>
      </c>
    </row>
    <row r="49" spans="1:14" x14ac:dyDescent="0.3">
      <c r="A49">
        <v>29097</v>
      </c>
      <c r="B49" t="s">
        <v>37</v>
      </c>
      <c r="C49" t="s">
        <v>40</v>
      </c>
      <c r="D49" s="5">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5">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5">
        <v>40000</v>
      </c>
      <c r="E51">
        <v>0</v>
      </c>
      <c r="F51" t="s">
        <v>13</v>
      </c>
      <c r="G51" t="s">
        <v>20</v>
      </c>
      <c r="H51" t="s">
        <v>15</v>
      </c>
      <c r="I51">
        <v>0</v>
      </c>
      <c r="J51" t="s">
        <v>16</v>
      </c>
      <c r="K51" t="s">
        <v>17</v>
      </c>
      <c r="L51">
        <v>39</v>
      </c>
      <c r="M51" t="str">
        <f t="shared" si="0"/>
        <v>Middle age</v>
      </c>
      <c r="N51" t="s">
        <v>15</v>
      </c>
    </row>
    <row r="52" spans="1:14" x14ac:dyDescent="0.3">
      <c r="A52">
        <v>13826</v>
      </c>
      <c r="B52" t="s">
        <v>37</v>
      </c>
      <c r="C52" t="s">
        <v>40</v>
      </c>
      <c r="D52" s="5">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5">
        <v>80000</v>
      </c>
      <c r="E53">
        <v>0</v>
      </c>
      <c r="F53" t="s">
        <v>13</v>
      </c>
      <c r="G53" t="s">
        <v>21</v>
      </c>
      <c r="H53" t="s">
        <v>18</v>
      </c>
      <c r="I53">
        <v>4</v>
      </c>
      <c r="J53" t="s">
        <v>46</v>
      </c>
      <c r="K53" t="s">
        <v>24</v>
      </c>
      <c r="L53">
        <v>35</v>
      </c>
      <c r="M53" t="str">
        <f t="shared" si="0"/>
        <v>Middle age</v>
      </c>
      <c r="N53" t="s">
        <v>18</v>
      </c>
    </row>
    <row r="54" spans="1:14" x14ac:dyDescent="0.3">
      <c r="A54">
        <v>12558</v>
      </c>
      <c r="B54" t="s">
        <v>36</v>
      </c>
      <c r="C54" t="s">
        <v>40</v>
      </c>
      <c r="D54" s="5">
        <v>20000</v>
      </c>
      <c r="E54">
        <v>1</v>
      </c>
      <c r="F54" t="s">
        <v>13</v>
      </c>
      <c r="G54" t="s">
        <v>20</v>
      </c>
      <c r="H54" t="s">
        <v>15</v>
      </c>
      <c r="I54">
        <v>0</v>
      </c>
      <c r="J54" t="s">
        <v>16</v>
      </c>
      <c r="K54" t="s">
        <v>17</v>
      </c>
      <c r="L54">
        <v>65</v>
      </c>
      <c r="M54" t="str">
        <f t="shared" si="0"/>
        <v>old</v>
      </c>
      <c r="N54" t="s">
        <v>18</v>
      </c>
    </row>
    <row r="55" spans="1:14" x14ac:dyDescent="0.3">
      <c r="A55">
        <v>24871</v>
      </c>
      <c r="B55" t="s">
        <v>37</v>
      </c>
      <c r="C55" t="s">
        <v>40</v>
      </c>
      <c r="D55" s="5">
        <v>90000</v>
      </c>
      <c r="E55">
        <v>4</v>
      </c>
      <c r="F55" t="s">
        <v>27</v>
      </c>
      <c r="G55" t="s">
        <v>28</v>
      </c>
      <c r="H55" t="s">
        <v>18</v>
      </c>
      <c r="I55">
        <v>3</v>
      </c>
      <c r="J55" t="s">
        <v>23</v>
      </c>
      <c r="K55" t="s">
        <v>17</v>
      </c>
      <c r="L55">
        <v>56</v>
      </c>
      <c r="M55" t="str">
        <f t="shared" si="0"/>
        <v>old</v>
      </c>
      <c r="N55" t="s">
        <v>18</v>
      </c>
    </row>
    <row r="56" spans="1:14" x14ac:dyDescent="0.3">
      <c r="A56">
        <v>17319</v>
      </c>
      <c r="B56" t="s">
        <v>37</v>
      </c>
      <c r="C56" t="s">
        <v>40</v>
      </c>
      <c r="D56" s="5">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5">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5">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5">
        <v>130000</v>
      </c>
      <c r="E59">
        <v>4</v>
      </c>
      <c r="F59" t="s">
        <v>19</v>
      </c>
      <c r="G59" t="s">
        <v>21</v>
      </c>
      <c r="H59" t="s">
        <v>18</v>
      </c>
      <c r="I59">
        <v>4</v>
      </c>
      <c r="J59" t="s">
        <v>23</v>
      </c>
      <c r="K59" t="s">
        <v>17</v>
      </c>
      <c r="L59">
        <v>61</v>
      </c>
      <c r="M59" t="str">
        <f t="shared" si="0"/>
        <v>old</v>
      </c>
      <c r="N59" t="s">
        <v>15</v>
      </c>
    </row>
    <row r="60" spans="1:14" x14ac:dyDescent="0.3">
      <c r="A60">
        <v>25502</v>
      </c>
      <c r="B60" t="s">
        <v>36</v>
      </c>
      <c r="C60" t="s">
        <v>40</v>
      </c>
      <c r="D60" s="5">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5">
        <v>60000</v>
      </c>
      <c r="E61">
        <v>2</v>
      </c>
      <c r="F61" t="s">
        <v>13</v>
      </c>
      <c r="G61" t="s">
        <v>21</v>
      </c>
      <c r="H61" t="s">
        <v>15</v>
      </c>
      <c r="I61">
        <v>1</v>
      </c>
      <c r="J61" t="s">
        <v>22</v>
      </c>
      <c r="K61" t="s">
        <v>24</v>
      </c>
      <c r="L61">
        <v>38</v>
      </c>
      <c r="M61" t="str">
        <f t="shared" si="0"/>
        <v>Middle age</v>
      </c>
      <c r="N61" t="s">
        <v>15</v>
      </c>
    </row>
    <row r="62" spans="1:14" x14ac:dyDescent="0.3">
      <c r="A62">
        <v>24185</v>
      </c>
      <c r="B62" t="s">
        <v>37</v>
      </c>
      <c r="C62" t="s">
        <v>40</v>
      </c>
      <c r="D62" s="5">
        <v>10000</v>
      </c>
      <c r="E62">
        <v>1</v>
      </c>
      <c r="F62" t="s">
        <v>27</v>
      </c>
      <c r="G62" t="s">
        <v>25</v>
      </c>
      <c r="H62" t="s">
        <v>18</v>
      </c>
      <c r="I62">
        <v>1</v>
      </c>
      <c r="J62" t="s">
        <v>26</v>
      </c>
      <c r="K62" t="s">
        <v>17</v>
      </c>
      <c r="L62">
        <v>45</v>
      </c>
      <c r="M62" t="str">
        <f t="shared" si="0"/>
        <v>Middle age</v>
      </c>
      <c r="N62" t="s">
        <v>18</v>
      </c>
    </row>
    <row r="63" spans="1:14" x14ac:dyDescent="0.3">
      <c r="A63">
        <v>19291</v>
      </c>
      <c r="B63" t="s">
        <v>37</v>
      </c>
      <c r="C63" t="s">
        <v>40</v>
      </c>
      <c r="D63" s="5">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5">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5">
        <v>60000</v>
      </c>
      <c r="E65">
        <v>4</v>
      </c>
      <c r="F65" t="s">
        <v>13</v>
      </c>
      <c r="G65" t="s">
        <v>21</v>
      </c>
      <c r="H65" t="s">
        <v>15</v>
      </c>
      <c r="I65">
        <v>3</v>
      </c>
      <c r="J65" t="s">
        <v>46</v>
      </c>
      <c r="K65" t="s">
        <v>24</v>
      </c>
      <c r="L65">
        <v>41</v>
      </c>
      <c r="M65" t="str">
        <f t="shared" si="0"/>
        <v>Middle age</v>
      </c>
      <c r="N65" t="s">
        <v>18</v>
      </c>
    </row>
    <row r="66" spans="1:14" x14ac:dyDescent="0.3">
      <c r="A66">
        <v>14927</v>
      </c>
      <c r="B66" t="s">
        <v>36</v>
      </c>
      <c r="C66" t="s">
        <v>40</v>
      </c>
      <c r="D66" s="5">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5">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
      <c r="A68">
        <v>29355</v>
      </c>
      <c r="B68" t="s">
        <v>36</v>
      </c>
      <c r="C68" t="s">
        <v>40</v>
      </c>
      <c r="D68" s="5">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5">
        <v>30000</v>
      </c>
      <c r="E69">
        <v>0</v>
      </c>
      <c r="F69" t="s">
        <v>27</v>
      </c>
      <c r="G69" t="s">
        <v>25</v>
      </c>
      <c r="H69" t="s">
        <v>15</v>
      </c>
      <c r="I69">
        <v>1</v>
      </c>
      <c r="J69" t="s">
        <v>22</v>
      </c>
      <c r="K69" t="s">
        <v>17</v>
      </c>
      <c r="L69">
        <v>33</v>
      </c>
      <c r="M69" t="str">
        <f t="shared" si="1"/>
        <v>Middle age</v>
      </c>
      <c r="N69" t="s">
        <v>15</v>
      </c>
    </row>
    <row r="70" spans="1:14" x14ac:dyDescent="0.3">
      <c r="A70">
        <v>14813</v>
      </c>
      <c r="B70" t="s">
        <v>37</v>
      </c>
      <c r="C70" t="s">
        <v>40</v>
      </c>
      <c r="D70" s="5">
        <v>20000</v>
      </c>
      <c r="E70">
        <v>4</v>
      </c>
      <c r="F70" t="s">
        <v>27</v>
      </c>
      <c r="G70" t="s">
        <v>25</v>
      </c>
      <c r="H70" t="s">
        <v>15</v>
      </c>
      <c r="I70">
        <v>1</v>
      </c>
      <c r="J70" t="s">
        <v>16</v>
      </c>
      <c r="K70" t="s">
        <v>17</v>
      </c>
      <c r="L70">
        <v>43</v>
      </c>
      <c r="M70" t="str">
        <f t="shared" si="1"/>
        <v>Middle age</v>
      </c>
      <c r="N70" t="s">
        <v>15</v>
      </c>
    </row>
    <row r="71" spans="1:14" x14ac:dyDescent="0.3">
      <c r="A71">
        <v>16438</v>
      </c>
      <c r="B71" t="s">
        <v>36</v>
      </c>
      <c r="C71" t="s">
        <v>40</v>
      </c>
      <c r="D71" s="5">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5">
        <v>120000</v>
      </c>
      <c r="E72">
        <v>0</v>
      </c>
      <c r="F72" t="s">
        <v>29</v>
      </c>
      <c r="G72" t="s">
        <v>21</v>
      </c>
      <c r="H72" t="s">
        <v>15</v>
      </c>
      <c r="I72">
        <v>4</v>
      </c>
      <c r="J72" t="s">
        <v>46</v>
      </c>
      <c r="K72" t="s">
        <v>24</v>
      </c>
      <c r="L72">
        <v>36</v>
      </c>
      <c r="M72" t="str">
        <f t="shared" si="1"/>
        <v>Middle age</v>
      </c>
      <c r="N72" t="s">
        <v>15</v>
      </c>
    </row>
    <row r="73" spans="1:14" x14ac:dyDescent="0.3">
      <c r="A73">
        <v>16200</v>
      </c>
      <c r="B73" t="s">
        <v>37</v>
      </c>
      <c r="C73" t="s">
        <v>40</v>
      </c>
      <c r="D73" s="5">
        <v>10000</v>
      </c>
      <c r="E73">
        <v>0</v>
      </c>
      <c r="F73" t="s">
        <v>29</v>
      </c>
      <c r="G73" t="s">
        <v>25</v>
      </c>
      <c r="H73" t="s">
        <v>18</v>
      </c>
      <c r="I73">
        <v>2</v>
      </c>
      <c r="J73" t="s">
        <v>16</v>
      </c>
      <c r="K73" t="s">
        <v>17</v>
      </c>
      <c r="L73">
        <v>35</v>
      </c>
      <c r="M73" t="str">
        <f t="shared" si="1"/>
        <v>Middle age</v>
      </c>
      <c r="N73" t="s">
        <v>18</v>
      </c>
    </row>
    <row r="74" spans="1:14" x14ac:dyDescent="0.3">
      <c r="A74">
        <v>24857</v>
      </c>
      <c r="B74" t="s">
        <v>36</v>
      </c>
      <c r="C74" t="s">
        <v>40</v>
      </c>
      <c r="D74" s="5">
        <v>130000</v>
      </c>
      <c r="E74">
        <v>3</v>
      </c>
      <c r="F74" t="s">
        <v>27</v>
      </c>
      <c r="G74" t="s">
        <v>21</v>
      </c>
      <c r="H74" t="s">
        <v>15</v>
      </c>
      <c r="I74">
        <v>4</v>
      </c>
      <c r="J74" t="s">
        <v>16</v>
      </c>
      <c r="K74" t="s">
        <v>17</v>
      </c>
      <c r="L74">
        <v>52</v>
      </c>
      <c r="M74" t="str">
        <f t="shared" si="1"/>
        <v>Middle age</v>
      </c>
      <c r="N74" t="s">
        <v>18</v>
      </c>
    </row>
    <row r="75" spans="1:14" x14ac:dyDescent="0.3">
      <c r="A75">
        <v>26956</v>
      </c>
      <c r="B75" t="s">
        <v>37</v>
      </c>
      <c r="C75" t="s">
        <v>40</v>
      </c>
      <c r="D75" s="5">
        <v>20000</v>
      </c>
      <c r="E75">
        <v>0</v>
      </c>
      <c r="F75" t="s">
        <v>19</v>
      </c>
      <c r="G75" t="s">
        <v>25</v>
      </c>
      <c r="H75" t="s">
        <v>18</v>
      </c>
      <c r="I75">
        <v>1</v>
      </c>
      <c r="J75" t="s">
        <v>22</v>
      </c>
      <c r="K75" t="s">
        <v>17</v>
      </c>
      <c r="L75">
        <v>36</v>
      </c>
      <c r="M75" t="str">
        <f t="shared" si="1"/>
        <v>Middle age</v>
      </c>
      <c r="N75" t="s">
        <v>15</v>
      </c>
    </row>
    <row r="76" spans="1:14" x14ac:dyDescent="0.3">
      <c r="A76">
        <v>14517</v>
      </c>
      <c r="B76" t="s">
        <v>36</v>
      </c>
      <c r="C76" t="s">
        <v>40</v>
      </c>
      <c r="D76" s="5">
        <v>20000</v>
      </c>
      <c r="E76">
        <v>3</v>
      </c>
      <c r="F76" t="s">
        <v>27</v>
      </c>
      <c r="G76" t="s">
        <v>14</v>
      </c>
      <c r="H76" t="s">
        <v>18</v>
      </c>
      <c r="I76">
        <v>2</v>
      </c>
      <c r="J76" t="s">
        <v>26</v>
      </c>
      <c r="K76" t="s">
        <v>24</v>
      </c>
      <c r="L76">
        <v>62</v>
      </c>
      <c r="M76" t="str">
        <f t="shared" si="1"/>
        <v>old</v>
      </c>
      <c r="N76" t="s">
        <v>18</v>
      </c>
    </row>
    <row r="77" spans="1:14" x14ac:dyDescent="0.3">
      <c r="A77">
        <v>12678</v>
      </c>
      <c r="B77" t="s">
        <v>37</v>
      </c>
      <c r="C77" t="s">
        <v>40</v>
      </c>
      <c r="D77" s="5">
        <v>130000</v>
      </c>
      <c r="E77">
        <v>4</v>
      </c>
      <c r="F77" t="s">
        <v>27</v>
      </c>
      <c r="G77" t="s">
        <v>28</v>
      </c>
      <c r="H77" t="s">
        <v>15</v>
      </c>
      <c r="I77">
        <v>4</v>
      </c>
      <c r="J77" t="s">
        <v>16</v>
      </c>
      <c r="K77" t="s">
        <v>24</v>
      </c>
      <c r="L77">
        <v>31</v>
      </c>
      <c r="M77" t="str">
        <f t="shared" si="1"/>
        <v>Middle age</v>
      </c>
      <c r="N77" t="s">
        <v>18</v>
      </c>
    </row>
    <row r="78" spans="1:14" x14ac:dyDescent="0.3">
      <c r="A78">
        <v>16188</v>
      </c>
      <c r="B78" t="s">
        <v>37</v>
      </c>
      <c r="C78" t="s">
        <v>40</v>
      </c>
      <c r="D78" s="5">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5">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5">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5">
        <v>40000</v>
      </c>
      <c r="E81">
        <v>2</v>
      </c>
      <c r="F81" t="s">
        <v>13</v>
      </c>
      <c r="G81" t="s">
        <v>28</v>
      </c>
      <c r="H81" t="s">
        <v>15</v>
      </c>
      <c r="I81">
        <v>2</v>
      </c>
      <c r="J81" t="s">
        <v>23</v>
      </c>
      <c r="K81" t="s">
        <v>24</v>
      </c>
      <c r="L81">
        <v>63</v>
      </c>
      <c r="M81" t="str">
        <f t="shared" si="1"/>
        <v>old</v>
      </c>
      <c r="N81" t="s">
        <v>15</v>
      </c>
    </row>
    <row r="82" spans="1:14" x14ac:dyDescent="0.3">
      <c r="A82">
        <v>20828</v>
      </c>
      <c r="B82" t="s">
        <v>36</v>
      </c>
      <c r="C82" t="s">
        <v>40</v>
      </c>
      <c r="D82" s="5">
        <v>30000</v>
      </c>
      <c r="E82">
        <v>4</v>
      </c>
      <c r="F82" t="s">
        <v>31</v>
      </c>
      <c r="G82" t="s">
        <v>20</v>
      </c>
      <c r="H82" t="s">
        <v>15</v>
      </c>
      <c r="I82">
        <v>0</v>
      </c>
      <c r="J82" t="s">
        <v>16</v>
      </c>
      <c r="K82" t="s">
        <v>17</v>
      </c>
      <c r="L82">
        <v>45</v>
      </c>
      <c r="M82" t="str">
        <f t="shared" si="1"/>
        <v>Middle age</v>
      </c>
      <c r="N82" t="s">
        <v>15</v>
      </c>
    </row>
    <row r="83" spans="1:14" x14ac:dyDescent="0.3">
      <c r="A83">
        <v>19461</v>
      </c>
      <c r="B83" t="s">
        <v>37</v>
      </c>
      <c r="C83" t="s">
        <v>40</v>
      </c>
      <c r="D83" s="5">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5">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5">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5">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5">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5">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5">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5">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5">
        <v>20000</v>
      </c>
      <c r="E91">
        <v>1</v>
      </c>
      <c r="F91" t="s">
        <v>27</v>
      </c>
      <c r="G91" t="s">
        <v>25</v>
      </c>
      <c r="H91" t="s">
        <v>18</v>
      </c>
      <c r="I91">
        <v>1</v>
      </c>
      <c r="J91" t="s">
        <v>26</v>
      </c>
      <c r="K91" t="s">
        <v>17</v>
      </c>
      <c r="L91">
        <v>40</v>
      </c>
      <c r="M91" t="str">
        <f t="shared" si="1"/>
        <v>Middle age</v>
      </c>
      <c r="N91" t="s">
        <v>15</v>
      </c>
    </row>
    <row r="92" spans="1:14" x14ac:dyDescent="0.3">
      <c r="A92">
        <v>26886</v>
      </c>
      <c r="B92" t="s">
        <v>37</v>
      </c>
      <c r="C92" t="s">
        <v>40</v>
      </c>
      <c r="D92" s="5">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5">
        <v>30000</v>
      </c>
      <c r="E93">
        <v>0</v>
      </c>
      <c r="F93" t="s">
        <v>19</v>
      </c>
      <c r="G93" t="s">
        <v>20</v>
      </c>
      <c r="H93" t="s">
        <v>18</v>
      </c>
      <c r="I93">
        <v>1</v>
      </c>
      <c r="J93" t="s">
        <v>16</v>
      </c>
      <c r="K93" t="s">
        <v>17</v>
      </c>
      <c r="L93">
        <v>30</v>
      </c>
      <c r="M93" t="str">
        <f t="shared" si="1"/>
        <v>Adolescent</v>
      </c>
      <c r="N93" t="s">
        <v>15</v>
      </c>
    </row>
    <row r="94" spans="1:14" x14ac:dyDescent="0.3">
      <c r="A94">
        <v>19562</v>
      </c>
      <c r="B94" t="s">
        <v>37</v>
      </c>
      <c r="C94" t="s">
        <v>40</v>
      </c>
      <c r="D94" s="5">
        <v>60000</v>
      </c>
      <c r="E94">
        <v>2</v>
      </c>
      <c r="F94" t="s">
        <v>13</v>
      </c>
      <c r="G94" t="s">
        <v>21</v>
      </c>
      <c r="H94" t="s">
        <v>15</v>
      </c>
      <c r="I94">
        <v>1</v>
      </c>
      <c r="J94" t="s">
        <v>22</v>
      </c>
      <c r="K94" t="s">
        <v>24</v>
      </c>
      <c r="L94">
        <v>37</v>
      </c>
      <c r="M94" t="str">
        <f t="shared" si="1"/>
        <v>Middle age</v>
      </c>
      <c r="N94" t="s">
        <v>15</v>
      </c>
    </row>
    <row r="95" spans="1:14" x14ac:dyDescent="0.3">
      <c r="A95">
        <v>15608</v>
      </c>
      <c r="B95" t="s">
        <v>37</v>
      </c>
      <c r="C95" t="s">
        <v>40</v>
      </c>
      <c r="D95" s="5">
        <v>30000</v>
      </c>
      <c r="E95">
        <v>0</v>
      </c>
      <c r="F95" t="s">
        <v>19</v>
      </c>
      <c r="G95" t="s">
        <v>20</v>
      </c>
      <c r="H95" t="s">
        <v>18</v>
      </c>
      <c r="I95">
        <v>1</v>
      </c>
      <c r="J95" t="s">
        <v>22</v>
      </c>
      <c r="K95" t="s">
        <v>17</v>
      </c>
      <c r="L95">
        <v>33</v>
      </c>
      <c r="M95" t="str">
        <f t="shared" si="1"/>
        <v>Middle age</v>
      </c>
      <c r="N95" t="s">
        <v>18</v>
      </c>
    </row>
    <row r="96" spans="1:14" x14ac:dyDescent="0.3">
      <c r="A96">
        <v>16487</v>
      </c>
      <c r="B96" t="s">
        <v>37</v>
      </c>
      <c r="C96" t="s">
        <v>40</v>
      </c>
      <c r="D96" s="5">
        <v>30000</v>
      </c>
      <c r="E96">
        <v>3</v>
      </c>
      <c r="F96" t="s">
        <v>27</v>
      </c>
      <c r="G96" t="s">
        <v>14</v>
      </c>
      <c r="H96" t="s">
        <v>15</v>
      </c>
      <c r="I96">
        <v>2</v>
      </c>
      <c r="J96" t="s">
        <v>23</v>
      </c>
      <c r="K96" t="s">
        <v>24</v>
      </c>
      <c r="L96">
        <v>55</v>
      </c>
      <c r="M96" t="str">
        <f t="shared" si="1"/>
        <v>old</v>
      </c>
      <c r="N96" t="s">
        <v>18</v>
      </c>
    </row>
    <row r="97" spans="1:14" x14ac:dyDescent="0.3">
      <c r="A97">
        <v>17197</v>
      </c>
      <c r="B97" t="s">
        <v>37</v>
      </c>
      <c r="C97" t="s">
        <v>40</v>
      </c>
      <c r="D97" s="5">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5">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5">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5">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40</v>
      </c>
      <c r="D101" s="5">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5">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5">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5">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5">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40</v>
      </c>
      <c r="D106" s="5">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40</v>
      </c>
      <c r="D107" s="5">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5">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40</v>
      </c>
      <c r="D109" s="5">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40</v>
      </c>
      <c r="D110" s="5">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5">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40</v>
      </c>
      <c r="D112" s="5">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40</v>
      </c>
      <c r="D113" s="5">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40</v>
      </c>
      <c r="D114" s="5">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40</v>
      </c>
      <c r="D115" s="5">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5">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5">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40</v>
      </c>
      <c r="D118" s="5">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40</v>
      </c>
      <c r="D119" s="5">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5">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40</v>
      </c>
      <c r="D121" s="5">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40</v>
      </c>
      <c r="D122" s="5">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5">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40</v>
      </c>
      <c r="D124" s="5">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40</v>
      </c>
      <c r="D125" s="5">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40</v>
      </c>
      <c r="D126" s="5">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5">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5">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5">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5">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5">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
      <c r="A132">
        <v>12993</v>
      </c>
      <c r="B132" t="s">
        <v>36</v>
      </c>
      <c r="C132" t="s">
        <v>39</v>
      </c>
      <c r="D132" s="5">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5">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5">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5">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40</v>
      </c>
      <c r="D136" s="5">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5">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40</v>
      </c>
      <c r="D138" s="5">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5">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40</v>
      </c>
      <c r="D140" s="5">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40</v>
      </c>
      <c r="D141" s="5">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5">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40</v>
      </c>
      <c r="D143" s="5">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5">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40</v>
      </c>
      <c r="D145" s="5">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5">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40</v>
      </c>
      <c r="D147" s="5">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5">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40</v>
      </c>
      <c r="D149" s="5">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5">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5">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5">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5">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40</v>
      </c>
      <c r="D154" s="5">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5">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5">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40</v>
      </c>
      <c r="D157" s="5">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40</v>
      </c>
      <c r="D158" s="5">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5">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40</v>
      </c>
      <c r="D160" s="5">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40</v>
      </c>
      <c r="D161" s="5">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40</v>
      </c>
      <c r="D162" s="5">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40</v>
      </c>
      <c r="D163" s="5">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40</v>
      </c>
      <c r="D164" s="5">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5">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5">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40</v>
      </c>
      <c r="D167" s="5">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5">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5">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5">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5">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40</v>
      </c>
      <c r="D172" s="5">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40</v>
      </c>
      <c r="D173" s="5">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5">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40</v>
      </c>
      <c r="D175" s="5">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5">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40</v>
      </c>
      <c r="D177" s="5">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40</v>
      </c>
      <c r="D178" s="5">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40</v>
      </c>
      <c r="D179" s="5">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5">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40</v>
      </c>
      <c r="D181" s="5">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5">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40</v>
      </c>
      <c r="D183" s="5">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40</v>
      </c>
      <c r="D184" s="5">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5">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40</v>
      </c>
      <c r="D186" s="5">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40</v>
      </c>
      <c r="D187" s="5">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40</v>
      </c>
      <c r="D188" s="5">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5">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40</v>
      </c>
      <c r="D190" s="5">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5">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5">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5">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40</v>
      </c>
      <c r="D194" s="5">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40</v>
      </c>
      <c r="D195" s="5">
        <v>70000</v>
      </c>
      <c r="E195">
        <v>5</v>
      </c>
      <c r="F195" t="s">
        <v>13</v>
      </c>
      <c r="G195" t="s">
        <v>21</v>
      </c>
      <c r="H195" t="s">
        <v>15</v>
      </c>
      <c r="I195">
        <v>4</v>
      </c>
      <c r="J195" t="s">
        <v>46</v>
      </c>
      <c r="K195" t="s">
        <v>24</v>
      </c>
      <c r="L195">
        <v>41</v>
      </c>
      <c r="M195" t="str">
        <f t="shared" ref="M195:M258" si="3">IF(L195&gt;54,"old",IF(L195&gt;=31,"Middle age",IF(L195&lt;31,"Adolescent")))</f>
        <v>Middle age</v>
      </c>
      <c r="N195" t="s">
        <v>18</v>
      </c>
    </row>
    <row r="196" spans="1:14" x14ac:dyDescent="0.3">
      <c r="A196">
        <v>17843</v>
      </c>
      <c r="B196" t="s">
        <v>37</v>
      </c>
      <c r="C196" t="s">
        <v>40</v>
      </c>
      <c r="D196" s="5">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5">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40</v>
      </c>
      <c r="D198" s="5">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5">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40</v>
      </c>
      <c r="D200" s="5">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5">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5">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5">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5">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40</v>
      </c>
      <c r="D205" s="5">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40</v>
      </c>
      <c r="D206" s="5">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5">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5">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40</v>
      </c>
      <c r="D209" s="5">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40</v>
      </c>
      <c r="D210" s="5">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40</v>
      </c>
      <c r="D211" s="5">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40</v>
      </c>
      <c r="D212" s="5">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40</v>
      </c>
      <c r="D213" s="5">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40</v>
      </c>
      <c r="D214" s="5">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5">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5">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5">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5">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40</v>
      </c>
      <c r="D219" s="5">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5">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5">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5">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5">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40</v>
      </c>
      <c r="D224" s="5">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40</v>
      </c>
      <c r="D225" s="5">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40</v>
      </c>
      <c r="D226" s="5">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5">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40</v>
      </c>
      <c r="D228" s="5">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5">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40</v>
      </c>
      <c r="D230" s="5">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5">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5">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40</v>
      </c>
      <c r="D233" s="5">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40</v>
      </c>
      <c r="D234" s="5">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5">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5">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40</v>
      </c>
      <c r="D237" s="5">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40</v>
      </c>
      <c r="D238" s="5">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40</v>
      </c>
      <c r="D239" s="5">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5">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40</v>
      </c>
      <c r="D241" s="5">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5">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40</v>
      </c>
      <c r="D243" s="5">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5">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40</v>
      </c>
      <c r="D245" s="5">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40</v>
      </c>
      <c r="D246" s="5">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5">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40</v>
      </c>
      <c r="D248" s="5">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40</v>
      </c>
      <c r="D249" s="5">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40</v>
      </c>
      <c r="D250" s="5">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5">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5">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5">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5">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5">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5">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40</v>
      </c>
      <c r="D257" s="5">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5">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40</v>
      </c>
      <c r="D259" s="5">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
      <c r="A260">
        <v>14193</v>
      </c>
      <c r="B260" t="s">
        <v>37</v>
      </c>
      <c r="C260" t="s">
        <v>40</v>
      </c>
      <c r="D260" s="5">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5">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40</v>
      </c>
      <c r="D262" s="5">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40</v>
      </c>
      <c r="D263" s="5">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40</v>
      </c>
      <c r="D264" s="5">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40</v>
      </c>
      <c r="D265" s="5">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5">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40</v>
      </c>
      <c r="D267" s="5">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40</v>
      </c>
      <c r="D268" s="5">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5">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5">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40</v>
      </c>
      <c r="D271" s="5">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40</v>
      </c>
      <c r="D272" s="5">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40</v>
      </c>
      <c r="D273" s="5">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5">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40</v>
      </c>
      <c r="D275" s="5">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40</v>
      </c>
      <c r="D276" s="5">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40</v>
      </c>
      <c r="D277" s="5">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40</v>
      </c>
      <c r="D278" s="5">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40</v>
      </c>
      <c r="D279" s="5">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5">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5">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40</v>
      </c>
      <c r="D282" s="5">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5">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5">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40</v>
      </c>
      <c r="D285" s="5">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5">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40</v>
      </c>
      <c r="D287" s="5">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40</v>
      </c>
      <c r="D288" s="5">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40</v>
      </c>
      <c r="D289" s="5">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5">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5">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40</v>
      </c>
      <c r="D292" s="5">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5">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40</v>
      </c>
      <c r="D294" s="5">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40</v>
      </c>
      <c r="D295" s="5">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5">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40</v>
      </c>
      <c r="D297" s="5">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40</v>
      </c>
      <c r="D298" s="5">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5">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40</v>
      </c>
      <c r="D300" s="5">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40</v>
      </c>
      <c r="D301" s="5">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40</v>
      </c>
      <c r="D302" s="5">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40</v>
      </c>
      <c r="D303" s="5">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5">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40</v>
      </c>
      <c r="D305" s="5">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5">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5">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5">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5">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5">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40</v>
      </c>
      <c r="D311" s="5">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5">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5">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5">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5">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5">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5">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5">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5">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5">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40</v>
      </c>
      <c r="D321" s="5">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5">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40</v>
      </c>
      <c r="D323" s="5">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
      <c r="A324">
        <v>16410</v>
      </c>
      <c r="B324" t="s">
        <v>37</v>
      </c>
      <c r="C324" t="s">
        <v>40</v>
      </c>
      <c r="D324" s="5">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40</v>
      </c>
      <c r="D325" s="5">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5">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5">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40</v>
      </c>
      <c r="D328" s="5">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5">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5">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40</v>
      </c>
      <c r="D331" s="5">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40</v>
      </c>
      <c r="D332" s="5">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5">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40</v>
      </c>
      <c r="D334" s="5">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5">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5">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5">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5">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5">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40</v>
      </c>
      <c r="D340" s="5">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5">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5">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40</v>
      </c>
      <c r="D343" s="5">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5">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40</v>
      </c>
      <c r="D345" s="5">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5">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40</v>
      </c>
      <c r="D347" s="5">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5">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40</v>
      </c>
      <c r="D349" s="5">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5">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40</v>
      </c>
      <c r="D351" s="5">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5">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5">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40</v>
      </c>
      <c r="D354" s="5">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5">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5">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5">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40</v>
      </c>
      <c r="D358" s="5">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40</v>
      </c>
      <c r="D359" s="5">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5">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5">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5">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40</v>
      </c>
      <c r="D363" s="5">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5">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40</v>
      </c>
      <c r="D365" s="5">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40</v>
      </c>
      <c r="D366" s="5">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40</v>
      </c>
      <c r="D367" s="5">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5">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40</v>
      </c>
      <c r="D369" s="5">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40</v>
      </c>
      <c r="D370" s="5">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40</v>
      </c>
      <c r="D371" s="5">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40</v>
      </c>
      <c r="D372" s="5">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5">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5">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5">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40</v>
      </c>
      <c r="D376" s="5">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40</v>
      </c>
      <c r="D377" s="5">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5">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5">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5">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5">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5">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40</v>
      </c>
      <c r="D383" s="5">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5">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5">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40</v>
      </c>
      <c r="D386" s="5">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5">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
      <c r="A388">
        <v>28957</v>
      </c>
      <c r="B388" t="s">
        <v>37</v>
      </c>
      <c r="C388" t="s">
        <v>40</v>
      </c>
      <c r="D388" s="5">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40</v>
      </c>
      <c r="D389" s="5">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40</v>
      </c>
      <c r="D390" s="5">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40</v>
      </c>
      <c r="D391" s="5">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5">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40</v>
      </c>
      <c r="D393" s="5">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5">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40</v>
      </c>
      <c r="D395" s="5">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40</v>
      </c>
      <c r="D396" s="5">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5">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5">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40</v>
      </c>
      <c r="D399" s="5">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5">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40</v>
      </c>
      <c r="D401" s="5">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40</v>
      </c>
      <c r="D402" s="5">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40</v>
      </c>
      <c r="D403" s="5">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5">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5">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5">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40</v>
      </c>
      <c r="D407" s="5">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40</v>
      </c>
      <c r="D408" s="5">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40</v>
      </c>
      <c r="D409" s="5">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40</v>
      </c>
      <c r="D410" s="5">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40</v>
      </c>
      <c r="D411" s="5">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40</v>
      </c>
      <c r="D412" s="5">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5">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5">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40</v>
      </c>
      <c r="D415" s="5">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40</v>
      </c>
      <c r="D416" s="5">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40</v>
      </c>
      <c r="D417" s="5">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5">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40</v>
      </c>
      <c r="D419" s="5">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5">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5">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40</v>
      </c>
      <c r="D422" s="5">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5">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5">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5">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40</v>
      </c>
      <c r="D426" s="5">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5">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5">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40</v>
      </c>
      <c r="D429" s="5">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5">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40</v>
      </c>
      <c r="D431" s="5">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40</v>
      </c>
      <c r="D432" s="5">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5">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40</v>
      </c>
      <c r="D434" s="5">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40</v>
      </c>
      <c r="D435" s="5">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40</v>
      </c>
      <c r="D436" s="5">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40</v>
      </c>
      <c r="D437" s="5">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40</v>
      </c>
      <c r="D438" s="5">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40</v>
      </c>
      <c r="D439" s="5">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40</v>
      </c>
      <c r="D440" s="5">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5">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5">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5">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5">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40</v>
      </c>
      <c r="D445" s="5">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5">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40</v>
      </c>
      <c r="D447" s="5">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40</v>
      </c>
      <c r="D448" s="5">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40</v>
      </c>
      <c r="D449" s="5">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40</v>
      </c>
      <c r="D450" s="5">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40</v>
      </c>
      <c r="D451" s="5">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
      <c r="A452">
        <v>16559</v>
      </c>
      <c r="B452" t="s">
        <v>37</v>
      </c>
      <c r="C452" t="s">
        <v>40</v>
      </c>
      <c r="D452" s="5">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40</v>
      </c>
      <c r="D453" s="5">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40</v>
      </c>
      <c r="D454" s="5">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40</v>
      </c>
      <c r="D455" s="5">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5">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40</v>
      </c>
      <c r="D457" s="5">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5">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40</v>
      </c>
      <c r="D459" s="5">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5">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40</v>
      </c>
      <c r="D461" s="5">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5">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40</v>
      </c>
      <c r="D463" s="5">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40</v>
      </c>
      <c r="D464" s="5">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5">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40</v>
      </c>
      <c r="D466" s="5">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5">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40</v>
      </c>
      <c r="D468" s="5">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5">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40</v>
      </c>
      <c r="D470" s="5">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40</v>
      </c>
      <c r="D471" s="5">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5">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5">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40</v>
      </c>
      <c r="D474" s="5">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40</v>
      </c>
      <c r="D475" s="5">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40</v>
      </c>
      <c r="D476" s="5">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5">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40</v>
      </c>
      <c r="D478" s="5">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5">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5">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5">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40</v>
      </c>
      <c r="D482" s="5">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40</v>
      </c>
      <c r="D483" s="5">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5">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5">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40</v>
      </c>
      <c r="D486" s="5">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5">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40</v>
      </c>
      <c r="D488" s="5">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5">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40</v>
      </c>
      <c r="D490" s="5">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5">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5">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5">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40</v>
      </c>
      <c r="D494" s="5">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5">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5">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5">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40</v>
      </c>
      <c r="D498" s="5">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40</v>
      </c>
      <c r="D499" s="5">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5">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40</v>
      </c>
      <c r="D501" s="5">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5">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40</v>
      </c>
      <c r="D503" s="5">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5">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40</v>
      </c>
      <c r="D505" s="5">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5">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5">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40</v>
      </c>
      <c r="D508" s="5">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40</v>
      </c>
      <c r="D509" s="5">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5">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5">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5">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5">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40</v>
      </c>
      <c r="D514" s="5">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40</v>
      </c>
      <c r="D515" s="5">
        <v>60000</v>
      </c>
      <c r="E515">
        <v>4</v>
      </c>
      <c r="F515" t="s">
        <v>31</v>
      </c>
      <c r="G515" t="s">
        <v>28</v>
      </c>
      <c r="H515" t="s">
        <v>15</v>
      </c>
      <c r="I515">
        <v>2</v>
      </c>
      <c r="J515" t="s">
        <v>46</v>
      </c>
      <c r="K515" t="s">
        <v>32</v>
      </c>
      <c r="L515">
        <v>61</v>
      </c>
      <c r="M515" t="str">
        <f t="shared" ref="M515:M578" si="8">IF(L515&gt;54,"old",IF(L515&gt;=31,"Middle age",IF(L515&lt;31,"Adolescent")))</f>
        <v>old</v>
      </c>
      <c r="N515" t="s">
        <v>15</v>
      </c>
    </row>
    <row r="516" spans="1:14" x14ac:dyDescent="0.3">
      <c r="A516">
        <v>19399</v>
      </c>
      <c r="B516" t="s">
        <v>37</v>
      </c>
      <c r="C516" t="s">
        <v>39</v>
      </c>
      <c r="D516" s="5">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40</v>
      </c>
      <c r="D517" s="5">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40</v>
      </c>
      <c r="D518" s="5">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5">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40</v>
      </c>
      <c r="D520" s="5">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5">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5">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5">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5">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5">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40</v>
      </c>
      <c r="D526" s="5">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5">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40</v>
      </c>
      <c r="D528" s="5">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5">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40</v>
      </c>
      <c r="D530" s="5">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5">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5">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5">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40</v>
      </c>
      <c r="D534" s="5">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5">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5">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5">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40</v>
      </c>
      <c r="D538" s="5">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40</v>
      </c>
      <c r="D539" s="5">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40</v>
      </c>
      <c r="D540" s="5">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40</v>
      </c>
      <c r="D541" s="5">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40</v>
      </c>
      <c r="D542" s="5">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5">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5">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40</v>
      </c>
      <c r="D545" s="5">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5">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5">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5">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5">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40</v>
      </c>
      <c r="D550" s="5">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40</v>
      </c>
      <c r="D551" s="5">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40</v>
      </c>
      <c r="D552" s="5">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40</v>
      </c>
      <c r="D553" s="5">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5">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5">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40</v>
      </c>
      <c r="D556" s="5">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5">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5">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40</v>
      </c>
      <c r="D559" s="5">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40</v>
      </c>
      <c r="D560" s="5">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40</v>
      </c>
      <c r="D561" s="5">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40</v>
      </c>
      <c r="D562" s="5">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40</v>
      </c>
      <c r="D563" s="5">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40</v>
      </c>
      <c r="D564" s="5">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40</v>
      </c>
      <c r="D565" s="5">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5">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5">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40</v>
      </c>
      <c r="D568" s="5">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5">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5">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5">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5">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5">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5">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5">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40</v>
      </c>
      <c r="D576" s="5">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5">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40</v>
      </c>
      <c r="D578" s="5">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5">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
      <c r="A580">
        <v>15313</v>
      </c>
      <c r="B580" t="s">
        <v>36</v>
      </c>
      <c r="C580" t="s">
        <v>39</v>
      </c>
      <c r="D580" s="5">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40</v>
      </c>
      <c r="D581" s="5">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40</v>
      </c>
      <c r="D582" s="5">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5">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5">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5">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5">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5">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5">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40</v>
      </c>
      <c r="D589" s="5">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40</v>
      </c>
      <c r="D590" s="5">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5">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40</v>
      </c>
      <c r="D592" s="5">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5">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40</v>
      </c>
      <c r="D594" s="5">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40</v>
      </c>
      <c r="D595" s="5">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5">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40</v>
      </c>
      <c r="D597" s="5">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40</v>
      </c>
      <c r="D598" s="5">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5">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5">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40</v>
      </c>
      <c r="D601" s="5">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5">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5">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5">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5">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5">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5">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5">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40</v>
      </c>
      <c r="D609" s="5">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5">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5">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5">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40</v>
      </c>
      <c r="D613" s="5">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40</v>
      </c>
      <c r="D614" s="5">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5">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40</v>
      </c>
      <c r="D616" s="5">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40</v>
      </c>
      <c r="D617" s="5">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40</v>
      </c>
      <c r="D618" s="5">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5">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40</v>
      </c>
      <c r="D620" s="5">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40</v>
      </c>
      <c r="D621" s="5">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40</v>
      </c>
      <c r="D622" s="5">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5">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5">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40</v>
      </c>
      <c r="D625" s="5">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40</v>
      </c>
      <c r="D626" s="5">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5">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40</v>
      </c>
      <c r="D628" s="5">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40</v>
      </c>
      <c r="D629" s="5">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5">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40</v>
      </c>
      <c r="D631" s="5">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5">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5">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40</v>
      </c>
      <c r="D634" s="5">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40</v>
      </c>
      <c r="D635" s="5">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5">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40</v>
      </c>
      <c r="D637" s="5">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40</v>
      </c>
      <c r="D638" s="5">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5">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5">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5">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40</v>
      </c>
      <c r="D642" s="5">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5">
        <v>50000</v>
      </c>
      <c r="E643">
        <v>4</v>
      </c>
      <c r="F643" t="s">
        <v>13</v>
      </c>
      <c r="G643" t="s">
        <v>28</v>
      </c>
      <c r="H643" t="s">
        <v>15</v>
      </c>
      <c r="I643">
        <v>2</v>
      </c>
      <c r="J643" t="s">
        <v>46</v>
      </c>
      <c r="K643" t="s">
        <v>32</v>
      </c>
      <c r="L643">
        <v>64</v>
      </c>
      <c r="M643" t="str">
        <f t="shared" ref="M643:M706" si="10">IF(L643&gt;54,"old",IF(L643&gt;=31,"Middle age",IF(L643&lt;31,"Adolescent")))</f>
        <v>old</v>
      </c>
      <c r="N643" t="s">
        <v>18</v>
      </c>
    </row>
    <row r="644" spans="1:14" x14ac:dyDescent="0.3">
      <c r="A644">
        <v>21741</v>
      </c>
      <c r="B644" t="s">
        <v>36</v>
      </c>
      <c r="C644" t="s">
        <v>40</v>
      </c>
      <c r="D644" s="5">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40</v>
      </c>
      <c r="D645" s="5">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40</v>
      </c>
      <c r="D646" s="5">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40</v>
      </c>
      <c r="D647" s="5">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40</v>
      </c>
      <c r="D648" s="5">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5">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40</v>
      </c>
      <c r="D650" s="5">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40</v>
      </c>
      <c r="D651" s="5">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40</v>
      </c>
      <c r="D652" s="5">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5">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5">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5">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5">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40</v>
      </c>
      <c r="D657" s="5">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5">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5">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5">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40</v>
      </c>
      <c r="D661" s="5">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40</v>
      </c>
      <c r="D662" s="5">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5">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40</v>
      </c>
      <c r="D664" s="5">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40</v>
      </c>
      <c r="D665" s="5">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40</v>
      </c>
      <c r="D666" s="5">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5">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40</v>
      </c>
      <c r="D668" s="5">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40</v>
      </c>
      <c r="D669" s="5">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40</v>
      </c>
      <c r="D670" s="5">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40</v>
      </c>
      <c r="D671" s="5">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5">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40</v>
      </c>
      <c r="D673" s="5">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40</v>
      </c>
      <c r="D674" s="5">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40</v>
      </c>
      <c r="D675" s="5">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40</v>
      </c>
      <c r="D676" s="5">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5">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5">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5">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5">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5">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40</v>
      </c>
      <c r="D682" s="5">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40</v>
      </c>
      <c r="D683" s="5">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5">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40</v>
      </c>
      <c r="D685" s="5">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40</v>
      </c>
      <c r="D686" s="5">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40</v>
      </c>
      <c r="D687" s="5">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40</v>
      </c>
      <c r="D688" s="5">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5">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5">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5">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40</v>
      </c>
      <c r="D692" s="5">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5">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5">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40</v>
      </c>
      <c r="D695" s="5">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40</v>
      </c>
      <c r="D696" s="5">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5">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5">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40</v>
      </c>
      <c r="D699" s="5">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5">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5">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40</v>
      </c>
      <c r="D702" s="5">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5">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5">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40</v>
      </c>
      <c r="D705" s="5">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40</v>
      </c>
      <c r="D706" s="5">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40</v>
      </c>
      <c r="D707" s="5">
        <v>70000</v>
      </c>
      <c r="E707">
        <v>4</v>
      </c>
      <c r="F707" t="s">
        <v>13</v>
      </c>
      <c r="G707" t="s">
        <v>28</v>
      </c>
      <c r="H707" t="s">
        <v>15</v>
      </c>
      <c r="I707">
        <v>1</v>
      </c>
      <c r="J707" t="s">
        <v>46</v>
      </c>
      <c r="K707" t="s">
        <v>32</v>
      </c>
      <c r="L707">
        <v>59</v>
      </c>
      <c r="M707" t="str">
        <f t="shared" ref="M707:M770" si="11">IF(L707&gt;54,"old",IF(L707&gt;=31,"Middle age",IF(L707&lt;31,"Adolescent")))</f>
        <v>old</v>
      </c>
      <c r="N707" t="s">
        <v>18</v>
      </c>
    </row>
    <row r="708" spans="1:14" x14ac:dyDescent="0.3">
      <c r="A708">
        <v>20296</v>
      </c>
      <c r="B708" t="s">
        <v>37</v>
      </c>
      <c r="C708" t="s">
        <v>40</v>
      </c>
      <c r="D708" s="5">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40</v>
      </c>
      <c r="D709" s="5">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5">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40</v>
      </c>
      <c r="D711" s="5">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5">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40</v>
      </c>
      <c r="D713" s="5">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40</v>
      </c>
      <c r="D714" s="5">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40</v>
      </c>
      <c r="D715" s="5">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5">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40</v>
      </c>
      <c r="D717" s="5">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40</v>
      </c>
      <c r="D718" s="5">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5">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5">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40</v>
      </c>
      <c r="D721" s="5">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40</v>
      </c>
      <c r="D722" s="5">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5">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40</v>
      </c>
      <c r="D724" s="5">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40</v>
      </c>
      <c r="D725" s="5">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5">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5">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5">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5">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5">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40</v>
      </c>
      <c r="D731" s="5">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40</v>
      </c>
      <c r="D732" s="5">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5">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40</v>
      </c>
      <c r="D734" s="5">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5">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40</v>
      </c>
      <c r="D736" s="5">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40</v>
      </c>
      <c r="D737" s="5">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5">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5">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40</v>
      </c>
      <c r="D740" s="5">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40</v>
      </c>
      <c r="D741" s="5">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5">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40</v>
      </c>
      <c r="D743" s="5">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5">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5">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40</v>
      </c>
      <c r="D746" s="5">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5">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40</v>
      </c>
      <c r="D748" s="5">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40</v>
      </c>
      <c r="D749" s="5">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5">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40</v>
      </c>
      <c r="D751" s="5">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5">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5">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5">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40</v>
      </c>
      <c r="D755" s="5">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40</v>
      </c>
      <c r="D756" s="5">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5">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5">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5">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40</v>
      </c>
      <c r="D760" s="5">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40</v>
      </c>
      <c r="D761" s="5">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5">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40</v>
      </c>
      <c r="D763" s="5">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5">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5">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40</v>
      </c>
      <c r="D766" s="5">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40</v>
      </c>
      <c r="D767" s="5">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5">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40</v>
      </c>
      <c r="D769" s="5">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40</v>
      </c>
      <c r="D770" s="5">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40</v>
      </c>
      <c r="D771" s="5">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
      <c r="A772">
        <v>17699</v>
      </c>
      <c r="B772" t="s">
        <v>36</v>
      </c>
      <c r="C772" t="s">
        <v>39</v>
      </c>
      <c r="D772" s="5">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5">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5">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40</v>
      </c>
      <c r="D775" s="5">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40</v>
      </c>
      <c r="D776" s="5">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5">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5">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5">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5">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5">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40</v>
      </c>
      <c r="D782" s="5">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5">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5">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5">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40</v>
      </c>
      <c r="D786" s="5">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40</v>
      </c>
      <c r="D787" s="5">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40</v>
      </c>
      <c r="D788" s="5">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40</v>
      </c>
      <c r="D789" s="5">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40</v>
      </c>
      <c r="D790" s="5">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5">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40</v>
      </c>
      <c r="D792" s="5">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5">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5">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5">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5">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5">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5">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5">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40</v>
      </c>
      <c r="D800" s="5">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40</v>
      </c>
      <c r="D801" s="5">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5">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5">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5">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5">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5">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40</v>
      </c>
      <c r="D807" s="5">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40</v>
      </c>
      <c r="D808" s="5">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40</v>
      </c>
      <c r="D809" s="5">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5">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40</v>
      </c>
      <c r="D811" s="5">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40</v>
      </c>
      <c r="D812" s="5">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5">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40</v>
      </c>
      <c r="D814" s="5">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40</v>
      </c>
      <c r="D815" s="5">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40</v>
      </c>
      <c r="D816" s="5">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5">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40</v>
      </c>
      <c r="D818" s="5">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40</v>
      </c>
      <c r="D819" s="5">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5">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40</v>
      </c>
      <c r="D821" s="5">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5">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5">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5">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40</v>
      </c>
      <c r="D825" s="5">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5">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5">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5">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40</v>
      </c>
      <c r="D829" s="5">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40</v>
      </c>
      <c r="D830" s="5">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5">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5">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40</v>
      </c>
      <c r="D833" s="5">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40</v>
      </c>
      <c r="D834" s="5">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40</v>
      </c>
      <c r="D835" s="5">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
      <c r="A836">
        <v>19889</v>
      </c>
      <c r="B836" t="s">
        <v>37</v>
      </c>
      <c r="C836" t="s">
        <v>40</v>
      </c>
      <c r="D836" s="5">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40</v>
      </c>
      <c r="D837" s="5">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40</v>
      </c>
      <c r="D838" s="5">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5">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40</v>
      </c>
      <c r="D840" s="5">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40</v>
      </c>
      <c r="D841" s="5">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5">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5">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40</v>
      </c>
      <c r="D844" s="5">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5">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40</v>
      </c>
      <c r="D846" s="5">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40</v>
      </c>
      <c r="D847" s="5">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40</v>
      </c>
      <c r="D848" s="5">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40</v>
      </c>
      <c r="D849" s="5">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5">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40</v>
      </c>
      <c r="D851" s="5">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40</v>
      </c>
      <c r="D852" s="5">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5">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5">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5">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40</v>
      </c>
      <c r="D856" s="5">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40</v>
      </c>
      <c r="D857" s="5">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5">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40</v>
      </c>
      <c r="D859" s="5">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5">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5">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5">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40</v>
      </c>
      <c r="D863" s="5">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5">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5">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5">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40</v>
      </c>
      <c r="D867" s="5">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5">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5">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5">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40</v>
      </c>
      <c r="D871" s="5">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5">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5">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40</v>
      </c>
      <c r="D874" s="5">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5">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40</v>
      </c>
      <c r="D876" s="5">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40</v>
      </c>
      <c r="D877" s="5">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5">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5">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5">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5">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5">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40</v>
      </c>
      <c r="D883" s="5">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5">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40</v>
      </c>
      <c r="D885" s="5">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5">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40</v>
      </c>
      <c r="D887" s="5">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5">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5">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40</v>
      </c>
      <c r="D890" s="5">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40</v>
      </c>
      <c r="D891" s="5">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40</v>
      </c>
      <c r="D892" s="5">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5">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40</v>
      </c>
      <c r="D894" s="5">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5">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5">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40</v>
      </c>
      <c r="D897" s="5">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40</v>
      </c>
      <c r="D898" s="5">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5">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
      <c r="A900">
        <v>18066</v>
      </c>
      <c r="B900" t="s">
        <v>37</v>
      </c>
      <c r="C900" t="s">
        <v>39</v>
      </c>
      <c r="D900" s="5">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40</v>
      </c>
      <c r="D901" s="5">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5">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40</v>
      </c>
      <c r="D903" s="5">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5">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5">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40</v>
      </c>
      <c r="D906" s="5">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5">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5">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5">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5">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5">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5">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40</v>
      </c>
      <c r="D913" s="5">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40</v>
      </c>
      <c r="D914" s="5">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5">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5">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5">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5">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5">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40</v>
      </c>
      <c r="D920" s="5">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40</v>
      </c>
      <c r="D921" s="5">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5">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40</v>
      </c>
      <c r="D923" s="5">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40</v>
      </c>
      <c r="D924" s="5">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5">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5">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40</v>
      </c>
      <c r="D927" s="5">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40</v>
      </c>
      <c r="D928" s="5">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40</v>
      </c>
      <c r="D929" s="5">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5">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5">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5">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40</v>
      </c>
      <c r="D933" s="5">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40</v>
      </c>
      <c r="D934" s="5">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5">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5">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40</v>
      </c>
      <c r="D937" s="5">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40</v>
      </c>
      <c r="D938" s="5">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5">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40</v>
      </c>
      <c r="D940" s="5">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5">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40</v>
      </c>
      <c r="D942" s="5">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40</v>
      </c>
      <c r="D943" s="5">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40</v>
      </c>
      <c r="D944" s="5">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40</v>
      </c>
      <c r="D945" s="5">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40</v>
      </c>
      <c r="D946" s="5">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5">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40</v>
      </c>
      <c r="D948" s="5">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40</v>
      </c>
      <c r="D949" s="5">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40</v>
      </c>
      <c r="D950" s="5">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5">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40</v>
      </c>
      <c r="D952" s="5">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5">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40</v>
      </c>
      <c r="D954" s="5">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40</v>
      </c>
      <c r="D955" s="5">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5">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40</v>
      </c>
      <c r="D957" s="5">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40</v>
      </c>
      <c r="D958" s="5">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40</v>
      </c>
      <c r="D959" s="5">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5">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5">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5">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40</v>
      </c>
      <c r="D963" s="5">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
      <c r="A964">
        <v>16813</v>
      </c>
      <c r="B964" t="s">
        <v>36</v>
      </c>
      <c r="C964" t="s">
        <v>39</v>
      </c>
      <c r="D964" s="5">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40</v>
      </c>
      <c r="D965" s="5">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5">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40</v>
      </c>
      <c r="D967" s="5">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40</v>
      </c>
      <c r="D968" s="5">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5">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5">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5">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40</v>
      </c>
      <c r="D972" s="5">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40</v>
      </c>
      <c r="D973" s="5">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40</v>
      </c>
      <c r="D974" s="5">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5">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5">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5">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40</v>
      </c>
      <c r="D978" s="5">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40</v>
      </c>
      <c r="D979" s="5">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5">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5">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40</v>
      </c>
      <c r="D982" s="5">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5">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5">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5">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5">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40</v>
      </c>
      <c r="D987" s="5">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5">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40</v>
      </c>
      <c r="D989" s="5">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5">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5">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40</v>
      </c>
      <c r="D992" s="5">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40</v>
      </c>
      <c r="D993" s="5">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5">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5">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5">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5">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5">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5">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5">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5">
        <v>60000</v>
      </c>
      <c r="E1001">
        <v>3</v>
      </c>
      <c r="F1001" t="s">
        <v>27</v>
      </c>
      <c r="G1001" t="s">
        <v>21</v>
      </c>
      <c r="H1001" t="s">
        <v>15</v>
      </c>
      <c r="I1001">
        <v>2</v>
      </c>
      <c r="J1001" t="s">
        <v>46</v>
      </c>
      <c r="K1001" t="s">
        <v>32</v>
      </c>
      <c r="L1001">
        <v>53</v>
      </c>
      <c r="M1001" t="str">
        <f t="shared" si="15"/>
        <v>Middle age</v>
      </c>
      <c r="N1001" t="s">
        <v>15</v>
      </c>
    </row>
  </sheetData>
  <autoFilter ref="D1:D1027" xr:uid="{6DAB94F5-E362-4B51-B637-69C9C392FD5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D2B9A-910C-4D20-93EC-3E897D93631A}">
  <dimension ref="A1:D50"/>
  <sheetViews>
    <sheetView topLeftCell="A11" zoomScale="75" workbookViewId="0">
      <selection activeCell="M13" sqref="M13"/>
    </sheetView>
  </sheetViews>
  <sheetFormatPr defaultRowHeight="14.4" x14ac:dyDescent="0.3"/>
  <cols>
    <col min="1" max="1" width="22.77734375" bestFit="1" customWidth="1"/>
    <col min="2" max="2" width="16.6640625" style="5" bestFit="1" customWidth="1"/>
    <col min="3" max="3" width="4.109375" bestFit="1" customWidth="1"/>
    <col min="4" max="4" width="11.33203125" bestFit="1" customWidth="1"/>
  </cols>
  <sheetData>
    <row r="1" spans="1:4" x14ac:dyDescent="0.3">
      <c r="A1" s="3" t="s">
        <v>44</v>
      </c>
      <c r="B1" s="3" t="s">
        <v>45</v>
      </c>
    </row>
    <row r="2" spans="1:4" x14ac:dyDescent="0.3">
      <c r="A2" s="3" t="s">
        <v>42</v>
      </c>
      <c r="B2" t="s">
        <v>18</v>
      </c>
      <c r="C2" t="s">
        <v>15</v>
      </c>
      <c r="D2" t="s">
        <v>43</v>
      </c>
    </row>
    <row r="3" spans="1:4" x14ac:dyDescent="0.3">
      <c r="A3" s="4" t="s">
        <v>40</v>
      </c>
      <c r="B3" s="6">
        <v>53440</v>
      </c>
      <c r="C3" s="6">
        <v>55774.058577405856</v>
      </c>
      <c r="D3" s="6">
        <v>54580.777096114522</v>
      </c>
    </row>
    <row r="4" spans="1:4" x14ac:dyDescent="0.3">
      <c r="A4" s="4" t="s">
        <v>39</v>
      </c>
      <c r="B4" s="6">
        <v>56208.178438661707</v>
      </c>
      <c r="C4" s="6">
        <v>60123.966942148763</v>
      </c>
      <c r="D4" s="6">
        <v>58062.62230919765</v>
      </c>
    </row>
    <row r="5" spans="1:4" x14ac:dyDescent="0.3">
      <c r="A5" s="4" t="s">
        <v>43</v>
      </c>
      <c r="B5" s="6">
        <v>54874.759152215796</v>
      </c>
      <c r="C5" s="6">
        <v>57962.577962577961</v>
      </c>
      <c r="D5" s="6">
        <v>56360</v>
      </c>
    </row>
    <row r="19" spans="1:4" x14ac:dyDescent="0.3">
      <c r="A19" s="3" t="s">
        <v>47</v>
      </c>
      <c r="B19" s="3" t="s">
        <v>45</v>
      </c>
    </row>
    <row r="20" spans="1:4" x14ac:dyDescent="0.3">
      <c r="A20" s="3" t="s">
        <v>42</v>
      </c>
      <c r="B20" t="s">
        <v>18</v>
      </c>
      <c r="C20" t="s">
        <v>15</v>
      </c>
      <c r="D20" t="s">
        <v>43</v>
      </c>
    </row>
    <row r="21" spans="1:4" x14ac:dyDescent="0.3">
      <c r="A21" s="4" t="s">
        <v>16</v>
      </c>
      <c r="B21" s="16">
        <v>166</v>
      </c>
      <c r="C21" s="16">
        <v>200</v>
      </c>
      <c r="D21" s="16">
        <v>366</v>
      </c>
    </row>
    <row r="22" spans="1:4" x14ac:dyDescent="0.3">
      <c r="A22" s="4" t="s">
        <v>26</v>
      </c>
      <c r="B22" s="16">
        <v>92</v>
      </c>
      <c r="C22" s="16">
        <v>77</v>
      </c>
      <c r="D22" s="16">
        <v>169</v>
      </c>
    </row>
    <row r="23" spans="1:4" x14ac:dyDescent="0.3">
      <c r="A23" s="4" t="s">
        <v>22</v>
      </c>
      <c r="B23" s="16">
        <v>67</v>
      </c>
      <c r="C23" s="16">
        <v>95</v>
      </c>
      <c r="D23" s="16">
        <v>162</v>
      </c>
    </row>
    <row r="24" spans="1:4" x14ac:dyDescent="0.3">
      <c r="A24" s="4" t="s">
        <v>23</v>
      </c>
      <c r="B24" s="16">
        <v>116</v>
      </c>
      <c r="C24" s="16">
        <v>76</v>
      </c>
      <c r="D24" s="16">
        <v>192</v>
      </c>
    </row>
    <row r="25" spans="1:4" x14ac:dyDescent="0.3">
      <c r="A25" s="4" t="s">
        <v>46</v>
      </c>
      <c r="B25" s="16">
        <v>78</v>
      </c>
      <c r="C25" s="16">
        <v>33</v>
      </c>
      <c r="D25" s="16">
        <v>111</v>
      </c>
    </row>
    <row r="26" spans="1:4" x14ac:dyDescent="0.3">
      <c r="A26" s="4" t="s">
        <v>43</v>
      </c>
      <c r="B26" s="16">
        <v>519</v>
      </c>
      <c r="C26" s="16">
        <v>481</v>
      </c>
      <c r="D26" s="16">
        <v>1000</v>
      </c>
    </row>
    <row r="27" spans="1:4" x14ac:dyDescent="0.3">
      <c r="B27"/>
    </row>
    <row r="28" spans="1:4" x14ac:dyDescent="0.3">
      <c r="B28"/>
    </row>
    <row r="29" spans="1:4" x14ac:dyDescent="0.3">
      <c r="B29"/>
    </row>
    <row r="30" spans="1:4" x14ac:dyDescent="0.3">
      <c r="B30"/>
    </row>
    <row r="31" spans="1:4" x14ac:dyDescent="0.3">
      <c r="B31"/>
    </row>
    <row r="32" spans="1:4" x14ac:dyDescent="0.3">
      <c r="B32"/>
    </row>
    <row r="33" spans="1:4" x14ac:dyDescent="0.3">
      <c r="A33" s="3" t="s">
        <v>47</v>
      </c>
      <c r="B33" s="3" t="s">
        <v>45</v>
      </c>
    </row>
    <row r="34" spans="1:4" x14ac:dyDescent="0.3">
      <c r="A34" s="3" t="s">
        <v>42</v>
      </c>
      <c r="B34" t="s">
        <v>18</v>
      </c>
      <c r="C34" t="s">
        <v>15</v>
      </c>
      <c r="D34" t="s">
        <v>43</v>
      </c>
    </row>
    <row r="35" spans="1:4" x14ac:dyDescent="0.3">
      <c r="A35" s="4" t="s">
        <v>48</v>
      </c>
      <c r="B35" s="16">
        <v>71</v>
      </c>
      <c r="C35" s="16">
        <v>39</v>
      </c>
      <c r="D35" s="16">
        <v>110</v>
      </c>
    </row>
    <row r="36" spans="1:4" x14ac:dyDescent="0.3">
      <c r="A36" s="4" t="s">
        <v>49</v>
      </c>
      <c r="B36" s="16">
        <v>318</v>
      </c>
      <c r="C36" s="16">
        <v>383</v>
      </c>
      <c r="D36" s="16">
        <v>701</v>
      </c>
    </row>
    <row r="37" spans="1:4" x14ac:dyDescent="0.3">
      <c r="A37" s="4" t="s">
        <v>50</v>
      </c>
      <c r="B37" s="16">
        <v>130</v>
      </c>
      <c r="C37" s="16">
        <v>59</v>
      </c>
      <c r="D37" s="16">
        <v>189</v>
      </c>
    </row>
    <row r="38" spans="1:4" x14ac:dyDescent="0.3">
      <c r="A38" s="4" t="s">
        <v>43</v>
      </c>
      <c r="B38" s="16">
        <v>519</v>
      </c>
      <c r="C38" s="16">
        <v>481</v>
      </c>
      <c r="D38" s="16">
        <v>1000</v>
      </c>
    </row>
    <row r="39" spans="1:4" x14ac:dyDescent="0.3">
      <c r="B39"/>
    </row>
    <row r="40" spans="1:4" x14ac:dyDescent="0.3">
      <c r="B40"/>
    </row>
    <row r="41" spans="1:4" x14ac:dyDescent="0.3">
      <c r="B41"/>
    </row>
    <row r="42" spans="1:4" x14ac:dyDescent="0.3">
      <c r="B42"/>
    </row>
    <row r="43" spans="1:4" x14ac:dyDescent="0.3">
      <c r="B43"/>
    </row>
    <row r="44" spans="1:4" x14ac:dyDescent="0.3">
      <c r="B44"/>
    </row>
    <row r="45" spans="1:4" x14ac:dyDescent="0.3">
      <c r="B45"/>
    </row>
    <row r="46" spans="1:4" x14ac:dyDescent="0.3">
      <c r="B46"/>
    </row>
    <row r="47" spans="1:4" x14ac:dyDescent="0.3">
      <c r="B47"/>
    </row>
    <row r="48" spans="1:4" x14ac:dyDescent="0.3">
      <c r="B48"/>
    </row>
    <row r="49" spans="2:2" x14ac:dyDescent="0.3">
      <c r="B49"/>
    </row>
    <row r="50" spans="2:2" x14ac:dyDescent="0.3">
      <c r="B50"/>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955C5-7C1B-44C0-9684-CD066F1D2E72}">
  <dimension ref="A1:N4"/>
  <sheetViews>
    <sheetView showGridLines="0" tabSelected="1" workbookViewId="0">
      <selection activeCell="P4" sqref="P4"/>
    </sheetView>
  </sheetViews>
  <sheetFormatPr defaultRowHeight="14.4" x14ac:dyDescent="0.3"/>
  <sheetData>
    <row r="1" spans="1:14" x14ac:dyDescent="0.3">
      <c r="A1" s="7"/>
      <c r="B1" s="7"/>
      <c r="C1" s="7"/>
      <c r="D1" s="7"/>
      <c r="E1" s="7"/>
      <c r="F1" s="7"/>
      <c r="G1" s="7"/>
      <c r="H1" s="7"/>
      <c r="I1" s="7"/>
      <c r="J1" s="7"/>
      <c r="K1" s="7"/>
      <c r="L1" s="7"/>
      <c r="M1" s="7"/>
      <c r="N1" s="7"/>
    </row>
    <row r="2" spans="1:14" ht="36" x14ac:dyDescent="0.3">
      <c r="A2" s="7"/>
      <c r="B2" s="7"/>
      <c r="C2" s="8"/>
      <c r="D2" s="8"/>
      <c r="E2" s="8"/>
      <c r="F2" s="9" t="s">
        <v>51</v>
      </c>
      <c r="G2" s="10"/>
      <c r="H2" s="10"/>
      <c r="I2" s="10"/>
      <c r="J2" s="10"/>
      <c r="K2" s="11"/>
      <c r="L2" s="10"/>
      <c r="M2" s="12"/>
      <c r="N2" s="13"/>
    </row>
    <row r="3" spans="1:14" x14ac:dyDescent="0.3">
      <c r="A3" s="7"/>
      <c r="B3" s="7"/>
      <c r="C3" s="7"/>
      <c r="D3" s="7"/>
      <c r="E3" s="7"/>
      <c r="F3" s="14"/>
      <c r="G3" s="7"/>
      <c r="H3" s="7"/>
      <c r="I3" s="7"/>
      <c r="J3" s="7"/>
      <c r="K3" s="7"/>
      <c r="L3" s="15"/>
      <c r="M3" s="7"/>
      <c r="N3" s="7"/>
    </row>
    <row r="4" spans="1:14" x14ac:dyDescent="0.3">
      <c r="A4" s="7"/>
      <c r="B4" s="7"/>
      <c r="C4" s="7"/>
      <c r="D4" s="7"/>
      <c r="E4" s="7"/>
      <c r="F4" s="7"/>
      <c r="G4" s="7"/>
      <c r="H4" s="7"/>
      <c r="I4" s="7"/>
      <c r="J4" s="7"/>
      <c r="K4" s="7"/>
      <c r="L4" s="7"/>
      <c r="M4" s="7"/>
      <c r="N4" s="7"/>
    </row>
  </sheetData>
  <conditionalFormatting sqref="P6">
    <cfRule type="colorScale" priority="1">
      <colorScale>
        <cfvo type="min"/>
        <cfvo type="percentile" val="50"/>
        <cfvo type="max"/>
        <color rgb="FFF8696B"/>
        <color rgb="FFFCFCFF"/>
        <color rgb="FF5A8AC6"/>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workspace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Nandhini P</cp:lastModifiedBy>
  <dcterms:created xsi:type="dcterms:W3CDTF">2022-03-18T02:50:57Z</dcterms:created>
  <dcterms:modified xsi:type="dcterms:W3CDTF">2026-05-15T17:44:09Z</dcterms:modified>
</cp:coreProperties>
</file>